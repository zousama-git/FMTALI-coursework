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defaultThemeVersion="202300"/>
  <mc:AlternateContent xmlns:mc="http://schemas.openxmlformats.org/markup-compatibility/2006">
    <mc:Choice Requires="x15">
      <x15ac:absPath xmlns:x15ac="http://schemas.microsoft.com/office/spreadsheetml/2010/11/ac" url="C:\Users\mbeke\OneDrive\Desktop\Project Resources\"/>
    </mc:Choice>
  </mc:AlternateContent>
  <xr:revisionPtr revIDLastSave="0" documentId="13_ncr:1_{30262366-7543-4BC0-9628-5A29CEB193D5}" xr6:coauthVersionLast="47" xr6:coauthVersionMax="47" xr10:uidLastSave="{00000000-0000-0000-0000-000000000000}"/>
  <bookViews>
    <workbookView xWindow="-108" yWindow="-108" windowWidth="23256" windowHeight="12456" firstSheet="3" activeTab="6" xr2:uid="{F6B1B76A-669D-426B-A5E4-1D7E6D8EBE9C}"/>
  </bookViews>
  <sheets>
    <sheet name="PivortTables" sheetId="11" r:id="rId1"/>
    <sheet name="Charts" sheetId="14" r:id="rId2"/>
    <sheet name="Dashboard" sheetId="15" r:id="rId3"/>
    <sheet name="Sales_All" sheetId="2" r:id="rId4"/>
    <sheet name="Region_Summary" sheetId="9" r:id="rId5"/>
    <sheet name="Products" sheetId="5" r:id="rId6"/>
    <sheet name="Customers" sheetId="6" r:id="rId7"/>
    <sheet name="Validation" sheetId="10" r:id="rId8"/>
    <sheet name="Operations" sheetId="7" r:id="rId9"/>
    <sheet name="Finance" sheetId="8" r:id="rId10"/>
  </sheets>
  <definedNames>
    <definedName name="_xlnm._FilterDatabase" localSheetId="3" hidden="1">Sales_All!$AA$1:$AA$91</definedName>
    <definedName name="_xlchart.v1.0" hidden="1">Sales_All!$E$2:$E$91</definedName>
    <definedName name="_xlchart.v1.1" hidden="1">Sales_All!$S$1</definedName>
    <definedName name="_xlchart.v1.2" hidden="1">Sales_All!$S$2:$S$91</definedName>
    <definedName name="_xlchart.v1.3" hidden="1">Sales_All!$E$2:$E$91</definedName>
    <definedName name="_xlchart.v1.4" hidden="1">Sales_All!$S$1</definedName>
    <definedName name="_xlchart.v1.5" hidden="1">Sales_All!$S$2:$S$91</definedName>
    <definedName name="_xlchart.v1.6" hidden="1">Sales_All!$E$2:$E$91</definedName>
    <definedName name="_xlchart.v1.7" hidden="1">Sales_All!$S$1</definedName>
    <definedName name="_xlchart.v1.8" hidden="1">Sales_All!$S$2:$S$91</definedName>
    <definedName name="ProductCategories">OFFSET(Products!$B$1,1,0,COUNTA(Products!$B:$B)-1,1)</definedName>
    <definedName name="Slicer_Month_Helper">#N/A</definedName>
    <definedName name="Slicer_Month_Helper1">#N/A</definedName>
    <definedName name="Slicer_Region">#N/A</definedName>
    <definedName name="Slicer_Region1">#N/A</definedName>
  </definedNames>
  <calcPr calcId="191029"/>
  <pivotCaches>
    <pivotCache cacheId="4" r:id="rId11"/>
  </pivotCaches>
  <extLst>
    <ext xmlns:x14="http://schemas.microsoft.com/office/spreadsheetml/2009/9/main" uri="{BBE1A952-AA13-448e-AADC-164F8A28A991}">
      <x14:slicerCaches>
        <x14:slicerCache r:id="rId12"/>
        <x14:slicerCache r:id="rId13"/>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warnBelowVersion="2" setVersion="2"/>
    </ext>
  </extLst>
</workbook>
</file>

<file path=xl/calcChain.xml><?xml version="1.0" encoding="utf-8"?>
<calcChain xmlns="http://schemas.openxmlformats.org/spreadsheetml/2006/main">
  <c r="G1" i="15" l="1" a="1"/>
  <c r="D3" i="15"/>
  <c r="C3" i="15"/>
  <c r="A3" i="15"/>
  <c r="A2" i="9" a="1"/>
  <c r="I3" i="6" a="1"/>
  <c r="I4" i="6" a="1"/>
  <c r="I5" i="6" a="1"/>
  <c r="I6" i="6" a="1"/>
  <c r="I7" i="6" a="1"/>
  <c r="I8" i="6" a="1"/>
  <c r="I9" i="6" a="1"/>
  <c r="I10" i="6" a="1"/>
  <c r="I11" i="6" a="1"/>
  <c r="I12" i="6" a="1"/>
  <c r="I13" i="6" a="1"/>
  <c r="I14" i="6" a="1"/>
  <c r="I15" i="6" a="1"/>
  <c r="I16" i="6" a="1"/>
  <c r="I17" i="6" a="1"/>
  <c r="I18" i="6" a="1"/>
  <c r="I19" i="6" a="1"/>
  <c r="I20" i="6" a="1"/>
  <c r="I21" i="6" a="1"/>
  <c r="I22" i="6" a="1"/>
  <c r="I23" i="6" a="1"/>
  <c r="I24" i="6" a="1"/>
  <c r="I25" i="6" a="1"/>
  <c r="I26" i="6" a="1"/>
  <c r="I27" i="6" a="1"/>
  <c r="I28" i="6" a="1"/>
  <c r="I29" i="6" a="1"/>
  <c r="I2" i="6" a="1"/>
  <c r="M3" i="2"/>
  <c r="N3" i="2"/>
  <c r="O3" i="2"/>
  <c r="S3" i="2"/>
  <c r="AB3" i="2"/>
  <c r="M4" i="2"/>
  <c r="N4" i="2"/>
  <c r="O4" i="2"/>
  <c r="S4" i="2"/>
  <c r="AB4" i="2"/>
  <c r="M5" i="2"/>
  <c r="R5" i="2" s="1"/>
  <c r="N5" i="2"/>
  <c r="O5" i="2"/>
  <c r="S5" i="2"/>
  <c r="AB5" i="2"/>
  <c r="M6" i="2"/>
  <c r="N6" i="2"/>
  <c r="O6" i="2"/>
  <c r="S6" i="2"/>
  <c r="AB6" i="2"/>
  <c r="M7" i="2"/>
  <c r="P7" i="2" s="1"/>
  <c r="N7" i="2"/>
  <c r="O7" i="2"/>
  <c r="S7" i="2"/>
  <c r="AB7" i="2"/>
  <c r="M8" i="2"/>
  <c r="N8" i="2"/>
  <c r="O8" i="2"/>
  <c r="S8" i="2"/>
  <c r="AB8" i="2"/>
  <c r="M9" i="2"/>
  <c r="N9" i="2"/>
  <c r="O9" i="2"/>
  <c r="S9" i="2"/>
  <c r="AB9" i="2"/>
  <c r="M10" i="2"/>
  <c r="N10" i="2"/>
  <c r="O10" i="2"/>
  <c r="S10" i="2"/>
  <c r="AB10" i="2"/>
  <c r="M11" i="2"/>
  <c r="N11" i="2"/>
  <c r="O11" i="2"/>
  <c r="S11" i="2"/>
  <c r="AB11" i="2"/>
  <c r="M12" i="2"/>
  <c r="N12" i="2"/>
  <c r="O12" i="2"/>
  <c r="S12" i="2"/>
  <c r="AB12" i="2"/>
  <c r="M13" i="2"/>
  <c r="N13" i="2"/>
  <c r="O13" i="2"/>
  <c r="S13" i="2"/>
  <c r="AB13" i="2"/>
  <c r="M14" i="2"/>
  <c r="N14" i="2"/>
  <c r="O14" i="2"/>
  <c r="S14" i="2"/>
  <c r="AB14" i="2"/>
  <c r="M15" i="2"/>
  <c r="N15" i="2"/>
  <c r="O15" i="2"/>
  <c r="P15" i="2"/>
  <c r="Q15" i="2"/>
  <c r="R15" i="2"/>
  <c r="S15" i="2"/>
  <c r="AB15" i="2"/>
  <c r="M16" i="2"/>
  <c r="N16" i="2"/>
  <c r="O16" i="2"/>
  <c r="P16" i="2"/>
  <c r="Q16" i="2"/>
  <c r="R16" i="2"/>
  <c r="S16" i="2"/>
  <c r="AB16" i="2"/>
  <c r="M17" i="2"/>
  <c r="N17" i="2"/>
  <c r="O17" i="2"/>
  <c r="S17" i="2"/>
  <c r="AB17" i="2"/>
  <c r="M18" i="2"/>
  <c r="N18" i="2"/>
  <c r="O18" i="2"/>
  <c r="S18" i="2"/>
  <c r="AB18" i="2"/>
  <c r="M19" i="2"/>
  <c r="N19" i="2"/>
  <c r="O19" i="2"/>
  <c r="S19" i="2"/>
  <c r="AB19" i="2"/>
  <c r="M20" i="2"/>
  <c r="N20" i="2"/>
  <c r="O20" i="2"/>
  <c r="S20" i="2"/>
  <c r="AB20" i="2"/>
  <c r="M21" i="2"/>
  <c r="N21" i="2"/>
  <c r="O21" i="2"/>
  <c r="S21" i="2"/>
  <c r="AB21" i="2"/>
  <c r="M22" i="2"/>
  <c r="N22" i="2"/>
  <c r="O22" i="2"/>
  <c r="S22" i="2"/>
  <c r="AB22" i="2"/>
  <c r="M23" i="2"/>
  <c r="N23" i="2"/>
  <c r="O23" i="2"/>
  <c r="S23" i="2"/>
  <c r="AB23" i="2"/>
  <c r="M24" i="2"/>
  <c r="N24" i="2"/>
  <c r="O24" i="2"/>
  <c r="S24" i="2"/>
  <c r="AB24" i="2"/>
  <c r="M25" i="2"/>
  <c r="N25" i="2"/>
  <c r="O25" i="2"/>
  <c r="S25" i="2"/>
  <c r="AB25" i="2"/>
  <c r="M26" i="2"/>
  <c r="N26" i="2"/>
  <c r="O26" i="2"/>
  <c r="S26" i="2"/>
  <c r="AB26" i="2"/>
  <c r="M27" i="2"/>
  <c r="N27" i="2"/>
  <c r="O27" i="2"/>
  <c r="S27" i="2"/>
  <c r="AB27" i="2"/>
  <c r="M28" i="2"/>
  <c r="R28" i="2" s="1"/>
  <c r="N28" i="2"/>
  <c r="O28" i="2"/>
  <c r="P28" i="2"/>
  <c r="Q28" i="2"/>
  <c r="S28" i="2"/>
  <c r="AB28" i="2"/>
  <c r="M29" i="2"/>
  <c r="N29" i="2"/>
  <c r="O29" i="2"/>
  <c r="R29" i="2"/>
  <c r="S29" i="2"/>
  <c r="AB29" i="2"/>
  <c r="M30" i="2"/>
  <c r="N30" i="2"/>
  <c r="O30" i="2"/>
  <c r="P30" i="2"/>
  <c r="Q30" i="2"/>
  <c r="R30" i="2"/>
  <c r="S30" i="2"/>
  <c r="AB30" i="2"/>
  <c r="M31" i="2"/>
  <c r="R31" i="2" s="1"/>
  <c r="N31" i="2"/>
  <c r="O31" i="2"/>
  <c r="S31" i="2"/>
  <c r="AB31" i="2"/>
  <c r="M32" i="2"/>
  <c r="N32" i="2"/>
  <c r="O32" i="2"/>
  <c r="S32" i="2"/>
  <c r="AB32" i="2"/>
  <c r="M33" i="2"/>
  <c r="N33" i="2"/>
  <c r="O33" i="2"/>
  <c r="R33" i="2"/>
  <c r="S33" i="2"/>
  <c r="AB33" i="2"/>
  <c r="M34" i="2"/>
  <c r="N34" i="2"/>
  <c r="O34" i="2"/>
  <c r="S34" i="2"/>
  <c r="AB34" i="2"/>
  <c r="M35" i="2"/>
  <c r="N35" i="2"/>
  <c r="O35" i="2"/>
  <c r="S35" i="2"/>
  <c r="AB35" i="2"/>
  <c r="M36" i="2"/>
  <c r="N36" i="2"/>
  <c r="O36" i="2"/>
  <c r="S36" i="2"/>
  <c r="AB36" i="2"/>
  <c r="M37" i="2"/>
  <c r="N37" i="2"/>
  <c r="O37" i="2"/>
  <c r="S37" i="2"/>
  <c r="AB37" i="2"/>
  <c r="M38" i="2"/>
  <c r="N38" i="2"/>
  <c r="O38" i="2"/>
  <c r="S38" i="2"/>
  <c r="AB38" i="2"/>
  <c r="M39" i="2"/>
  <c r="N39" i="2"/>
  <c r="O39" i="2"/>
  <c r="S39" i="2"/>
  <c r="AB39" i="2"/>
  <c r="M40" i="2"/>
  <c r="N40" i="2"/>
  <c r="O40" i="2"/>
  <c r="S40" i="2"/>
  <c r="AB40" i="2"/>
  <c r="M41" i="2"/>
  <c r="N41" i="2"/>
  <c r="O41" i="2"/>
  <c r="P41" i="2"/>
  <c r="Q41" i="2"/>
  <c r="R41" i="2"/>
  <c r="S41" i="2"/>
  <c r="AB41" i="2"/>
  <c r="M42" i="2"/>
  <c r="N42" i="2"/>
  <c r="O42" i="2"/>
  <c r="P42" i="2"/>
  <c r="Q42" i="2"/>
  <c r="R42" i="2"/>
  <c r="S42" i="2"/>
  <c r="AB42" i="2"/>
  <c r="M43" i="2"/>
  <c r="N43" i="2"/>
  <c r="O43" i="2"/>
  <c r="S43" i="2"/>
  <c r="AB43" i="2"/>
  <c r="M44" i="2"/>
  <c r="N44" i="2"/>
  <c r="O44" i="2"/>
  <c r="S44" i="2"/>
  <c r="AB44" i="2"/>
  <c r="M45" i="2"/>
  <c r="N45" i="2"/>
  <c r="O45" i="2"/>
  <c r="S45" i="2"/>
  <c r="AB45" i="2"/>
  <c r="M46" i="2"/>
  <c r="N46" i="2"/>
  <c r="O46" i="2"/>
  <c r="S46" i="2"/>
  <c r="AB46" i="2"/>
  <c r="M47" i="2"/>
  <c r="R47" i="2" s="1"/>
  <c r="N47" i="2"/>
  <c r="O47" i="2"/>
  <c r="S47" i="2"/>
  <c r="AB47" i="2"/>
  <c r="M48" i="2"/>
  <c r="N48" i="2"/>
  <c r="O48" i="2"/>
  <c r="S48" i="2"/>
  <c r="AB48" i="2"/>
  <c r="M49" i="2"/>
  <c r="N49" i="2"/>
  <c r="O49" i="2"/>
  <c r="S49" i="2"/>
  <c r="AB49" i="2"/>
  <c r="M50" i="2"/>
  <c r="N50" i="2"/>
  <c r="O50" i="2"/>
  <c r="S50" i="2"/>
  <c r="AB50" i="2"/>
  <c r="M51" i="2"/>
  <c r="N51" i="2"/>
  <c r="O51" i="2"/>
  <c r="S51" i="2"/>
  <c r="AB51" i="2"/>
  <c r="M52" i="2"/>
  <c r="N52" i="2"/>
  <c r="O52" i="2"/>
  <c r="P52" i="2"/>
  <c r="Q52" i="2"/>
  <c r="R52" i="2"/>
  <c r="S52" i="2"/>
  <c r="AB52" i="2"/>
  <c r="M53" i="2"/>
  <c r="N53" i="2"/>
  <c r="O53" i="2"/>
  <c r="P53" i="2"/>
  <c r="Q53" i="2"/>
  <c r="R53" i="2"/>
  <c r="S53" i="2"/>
  <c r="AB53" i="2"/>
  <c r="M54" i="2"/>
  <c r="N54" i="2"/>
  <c r="O54" i="2"/>
  <c r="P54" i="2"/>
  <c r="S54" i="2"/>
  <c r="AB54" i="2"/>
  <c r="M55" i="2"/>
  <c r="N55" i="2"/>
  <c r="O55" i="2"/>
  <c r="S55" i="2"/>
  <c r="AB55" i="2"/>
  <c r="M56" i="2"/>
  <c r="N56" i="2"/>
  <c r="O56" i="2"/>
  <c r="R56" i="2"/>
  <c r="S56" i="2"/>
  <c r="AB56" i="2"/>
  <c r="M57" i="2"/>
  <c r="N57" i="2"/>
  <c r="O57" i="2"/>
  <c r="S57" i="2"/>
  <c r="AB57" i="2"/>
  <c r="M58" i="2"/>
  <c r="R58" i="2" s="1"/>
  <c r="N58" i="2"/>
  <c r="O58" i="2"/>
  <c r="S58" i="2"/>
  <c r="AB58" i="2"/>
  <c r="M59" i="2"/>
  <c r="R59" i="2" s="1"/>
  <c r="N59" i="2"/>
  <c r="O59" i="2"/>
  <c r="S59" i="2"/>
  <c r="AB59" i="2"/>
  <c r="M60" i="2"/>
  <c r="N60" i="2"/>
  <c r="O60" i="2"/>
  <c r="S60" i="2"/>
  <c r="AB60" i="2"/>
  <c r="M61" i="2"/>
  <c r="N61" i="2"/>
  <c r="O61" i="2"/>
  <c r="S61" i="2"/>
  <c r="AB61" i="2"/>
  <c r="M62" i="2"/>
  <c r="N62" i="2"/>
  <c r="O62" i="2"/>
  <c r="S62" i="2"/>
  <c r="AB62" i="2"/>
  <c r="M63" i="2"/>
  <c r="N63" i="2"/>
  <c r="O63" i="2"/>
  <c r="P63" i="2"/>
  <c r="Q63" i="2"/>
  <c r="R63" i="2"/>
  <c r="S63" i="2"/>
  <c r="AB63" i="2"/>
  <c r="M64" i="2"/>
  <c r="N64" i="2"/>
  <c r="O64" i="2"/>
  <c r="S64" i="2"/>
  <c r="AB64" i="2"/>
  <c r="M65" i="2"/>
  <c r="N65" i="2"/>
  <c r="O65" i="2"/>
  <c r="S65" i="2"/>
  <c r="AB65" i="2"/>
  <c r="M66" i="2"/>
  <c r="N66" i="2"/>
  <c r="O66" i="2"/>
  <c r="S66" i="2"/>
  <c r="AB66" i="2"/>
  <c r="M67" i="2"/>
  <c r="N67" i="2"/>
  <c r="O67" i="2"/>
  <c r="S67" i="2"/>
  <c r="AB67" i="2"/>
  <c r="M68" i="2"/>
  <c r="N68" i="2"/>
  <c r="O68" i="2"/>
  <c r="S68" i="2"/>
  <c r="AB68" i="2"/>
  <c r="M69" i="2"/>
  <c r="R69" i="2" s="1"/>
  <c r="N69" i="2"/>
  <c r="O69" i="2"/>
  <c r="S69" i="2"/>
  <c r="AB69" i="2"/>
  <c r="M70" i="2"/>
  <c r="N70" i="2"/>
  <c r="O70" i="2"/>
  <c r="S70" i="2"/>
  <c r="AB70" i="2"/>
  <c r="M71" i="2"/>
  <c r="N71" i="2"/>
  <c r="O71" i="2"/>
  <c r="S71" i="2"/>
  <c r="AB71" i="2"/>
  <c r="M72" i="2"/>
  <c r="N72" i="2"/>
  <c r="O72" i="2"/>
  <c r="S72" i="2"/>
  <c r="AB72" i="2"/>
  <c r="M73" i="2"/>
  <c r="N73" i="2"/>
  <c r="O73" i="2"/>
  <c r="S73" i="2"/>
  <c r="AB73" i="2"/>
  <c r="M74" i="2"/>
  <c r="N74" i="2"/>
  <c r="O74" i="2"/>
  <c r="S74" i="2"/>
  <c r="AB74" i="2"/>
  <c r="M75" i="2"/>
  <c r="N75" i="2"/>
  <c r="O75" i="2"/>
  <c r="S75" i="2"/>
  <c r="AB75" i="2"/>
  <c r="M76" i="2"/>
  <c r="N76" i="2"/>
  <c r="O76" i="2"/>
  <c r="S76" i="2"/>
  <c r="AB76" i="2"/>
  <c r="M77" i="2"/>
  <c r="N77" i="2"/>
  <c r="O77" i="2"/>
  <c r="S77" i="2"/>
  <c r="AB77" i="2"/>
  <c r="M78" i="2"/>
  <c r="P78" i="2" s="1"/>
  <c r="N78" i="2"/>
  <c r="O78" i="2"/>
  <c r="S78" i="2"/>
  <c r="AB78" i="2"/>
  <c r="M79" i="2"/>
  <c r="N79" i="2"/>
  <c r="O79" i="2"/>
  <c r="S79" i="2"/>
  <c r="AB79" i="2"/>
  <c r="M80" i="2"/>
  <c r="N80" i="2"/>
  <c r="O80" i="2"/>
  <c r="S80" i="2"/>
  <c r="AB80" i="2"/>
  <c r="M81" i="2"/>
  <c r="N81" i="2"/>
  <c r="O81" i="2"/>
  <c r="S81" i="2"/>
  <c r="AB81" i="2"/>
  <c r="M82" i="2"/>
  <c r="R82" i="2" s="1"/>
  <c r="N82" i="2"/>
  <c r="O82" i="2"/>
  <c r="S82" i="2"/>
  <c r="AB82" i="2"/>
  <c r="M83" i="2"/>
  <c r="R83" i="2" s="1"/>
  <c r="N83" i="2"/>
  <c r="O83" i="2"/>
  <c r="S83" i="2"/>
  <c r="AB83" i="2"/>
  <c r="M84" i="2"/>
  <c r="N84" i="2"/>
  <c r="O84" i="2"/>
  <c r="R84" i="2"/>
  <c r="S84" i="2"/>
  <c r="AB84" i="2"/>
  <c r="M85" i="2"/>
  <c r="N85" i="2"/>
  <c r="O85" i="2"/>
  <c r="S85" i="2"/>
  <c r="AB85" i="2"/>
  <c r="M86" i="2"/>
  <c r="N86" i="2"/>
  <c r="O86" i="2"/>
  <c r="S86" i="2"/>
  <c r="AB86" i="2"/>
  <c r="M87" i="2"/>
  <c r="N87" i="2"/>
  <c r="O87" i="2"/>
  <c r="S87" i="2"/>
  <c r="AB87" i="2"/>
  <c r="M88" i="2"/>
  <c r="N88" i="2"/>
  <c r="O88" i="2"/>
  <c r="S88" i="2"/>
  <c r="AB88" i="2"/>
  <c r="M89" i="2"/>
  <c r="N89" i="2"/>
  <c r="O89" i="2"/>
  <c r="S89" i="2"/>
  <c r="AB89" i="2"/>
  <c r="M90" i="2"/>
  <c r="N90" i="2"/>
  <c r="O90" i="2"/>
  <c r="S90" i="2"/>
  <c r="AB90" i="2"/>
  <c r="M91" i="2"/>
  <c r="N91" i="2"/>
  <c r="O91" i="2"/>
  <c r="R91" i="2"/>
  <c r="S91" i="2"/>
  <c r="AB91" i="2"/>
  <c r="AB2" i="2"/>
  <c r="S2" i="2"/>
  <c r="M2" i="2"/>
  <c r="O2" i="2"/>
  <c r="N2" i="2"/>
  <c r="H32" i="2"/>
  <c r="I32" i="2"/>
  <c r="L32" i="2"/>
  <c r="H33" i="2"/>
  <c r="I33" i="2"/>
  <c r="L33" i="2"/>
  <c r="H34" i="2"/>
  <c r="I34" i="2"/>
  <c r="L34" i="2"/>
  <c r="H35" i="2"/>
  <c r="I35" i="2"/>
  <c r="L35" i="2"/>
  <c r="H36" i="2"/>
  <c r="I36" i="2"/>
  <c r="L36" i="2"/>
  <c r="H37" i="2"/>
  <c r="I37" i="2"/>
  <c r="L37" i="2"/>
  <c r="H38" i="2"/>
  <c r="I38" i="2"/>
  <c r="L38" i="2"/>
  <c r="H39" i="2"/>
  <c r="I39" i="2"/>
  <c r="L39" i="2"/>
  <c r="H40" i="2"/>
  <c r="I40" i="2"/>
  <c r="L40" i="2"/>
  <c r="H41" i="2"/>
  <c r="I41" i="2"/>
  <c r="L41" i="2"/>
  <c r="H42" i="2"/>
  <c r="I42" i="2"/>
  <c r="L42" i="2"/>
  <c r="H43" i="2"/>
  <c r="I43" i="2"/>
  <c r="L43" i="2"/>
  <c r="H44" i="2"/>
  <c r="I44" i="2"/>
  <c r="L44" i="2"/>
  <c r="H45" i="2"/>
  <c r="I45" i="2"/>
  <c r="L45" i="2"/>
  <c r="H46" i="2"/>
  <c r="I46" i="2"/>
  <c r="L46" i="2"/>
  <c r="H47" i="2"/>
  <c r="I47" i="2"/>
  <c r="L47" i="2"/>
  <c r="H48" i="2"/>
  <c r="I48" i="2"/>
  <c r="L48" i="2"/>
  <c r="H49" i="2"/>
  <c r="I49" i="2"/>
  <c r="L49" i="2"/>
  <c r="H50" i="2"/>
  <c r="I50" i="2"/>
  <c r="L50" i="2"/>
  <c r="H51" i="2"/>
  <c r="I51" i="2"/>
  <c r="L51" i="2"/>
  <c r="H52" i="2"/>
  <c r="I52" i="2"/>
  <c r="L52" i="2"/>
  <c r="H53" i="2"/>
  <c r="I53" i="2"/>
  <c r="L53" i="2"/>
  <c r="H54" i="2"/>
  <c r="I54" i="2"/>
  <c r="L54" i="2"/>
  <c r="H55" i="2"/>
  <c r="I55" i="2"/>
  <c r="L55" i="2"/>
  <c r="H56" i="2"/>
  <c r="I56" i="2"/>
  <c r="L56" i="2"/>
  <c r="H57" i="2"/>
  <c r="I57" i="2"/>
  <c r="L57" i="2"/>
  <c r="H58" i="2"/>
  <c r="I58" i="2"/>
  <c r="L58" i="2"/>
  <c r="H59" i="2"/>
  <c r="I59" i="2"/>
  <c r="L59" i="2"/>
  <c r="H60" i="2"/>
  <c r="I60" i="2"/>
  <c r="L60" i="2"/>
  <c r="H61" i="2"/>
  <c r="I61" i="2"/>
  <c r="L61" i="2"/>
  <c r="H62" i="2"/>
  <c r="I62" i="2"/>
  <c r="L62" i="2"/>
  <c r="H63" i="2"/>
  <c r="I63" i="2"/>
  <c r="L63" i="2"/>
  <c r="H64" i="2"/>
  <c r="I64" i="2"/>
  <c r="L64" i="2"/>
  <c r="H65" i="2"/>
  <c r="I65" i="2"/>
  <c r="L65" i="2"/>
  <c r="H66" i="2"/>
  <c r="I66" i="2"/>
  <c r="L66" i="2"/>
  <c r="H67" i="2"/>
  <c r="I67" i="2"/>
  <c r="L67" i="2"/>
  <c r="H68" i="2"/>
  <c r="I68" i="2"/>
  <c r="L68" i="2"/>
  <c r="H69" i="2"/>
  <c r="I69" i="2"/>
  <c r="L69" i="2"/>
  <c r="H70" i="2"/>
  <c r="I70" i="2"/>
  <c r="L70" i="2"/>
  <c r="H71" i="2"/>
  <c r="I71" i="2"/>
  <c r="L71" i="2"/>
  <c r="H72" i="2"/>
  <c r="I72" i="2"/>
  <c r="L72" i="2"/>
  <c r="H73" i="2"/>
  <c r="I73" i="2"/>
  <c r="L73" i="2"/>
  <c r="H74" i="2"/>
  <c r="I74" i="2"/>
  <c r="L74" i="2"/>
  <c r="H75" i="2"/>
  <c r="I75" i="2"/>
  <c r="L75" i="2"/>
  <c r="H76" i="2"/>
  <c r="I76" i="2"/>
  <c r="L76" i="2"/>
  <c r="H77" i="2"/>
  <c r="I77" i="2"/>
  <c r="L77" i="2"/>
  <c r="H78" i="2"/>
  <c r="I78" i="2"/>
  <c r="L78" i="2"/>
  <c r="H79" i="2"/>
  <c r="I79" i="2"/>
  <c r="L79" i="2"/>
  <c r="H80" i="2"/>
  <c r="I80" i="2"/>
  <c r="L80" i="2"/>
  <c r="H81" i="2"/>
  <c r="I81" i="2"/>
  <c r="L81" i="2"/>
  <c r="H82" i="2"/>
  <c r="I82" i="2"/>
  <c r="L82" i="2"/>
  <c r="H83" i="2"/>
  <c r="I83" i="2"/>
  <c r="L83" i="2"/>
  <c r="H84" i="2"/>
  <c r="I84" i="2"/>
  <c r="L84" i="2"/>
  <c r="H85" i="2"/>
  <c r="I85" i="2"/>
  <c r="L85" i="2"/>
  <c r="H86" i="2"/>
  <c r="I86" i="2"/>
  <c r="L86" i="2"/>
  <c r="H87" i="2"/>
  <c r="I87" i="2"/>
  <c r="L87" i="2"/>
  <c r="H88" i="2"/>
  <c r="I88" i="2"/>
  <c r="L88" i="2"/>
  <c r="H89" i="2"/>
  <c r="I89" i="2"/>
  <c r="L89" i="2"/>
  <c r="H90" i="2"/>
  <c r="I90" i="2"/>
  <c r="L90" i="2"/>
  <c r="H91" i="2"/>
  <c r="I91" i="2"/>
  <c r="L91" i="2"/>
  <c r="H3" i="2"/>
  <c r="I3" i="2"/>
  <c r="L3" i="2"/>
  <c r="H4" i="2"/>
  <c r="I4" i="2"/>
  <c r="L4" i="2"/>
  <c r="H5" i="2"/>
  <c r="I5" i="2"/>
  <c r="L5" i="2"/>
  <c r="H6" i="2"/>
  <c r="I6" i="2"/>
  <c r="L6" i="2"/>
  <c r="H7" i="2"/>
  <c r="I7" i="2"/>
  <c r="L7" i="2"/>
  <c r="H8" i="2"/>
  <c r="I8" i="2"/>
  <c r="L8" i="2"/>
  <c r="H9" i="2"/>
  <c r="I9" i="2"/>
  <c r="L9" i="2"/>
  <c r="H10" i="2"/>
  <c r="I10" i="2"/>
  <c r="L10" i="2"/>
  <c r="H11" i="2"/>
  <c r="I11" i="2"/>
  <c r="L11" i="2"/>
  <c r="H12" i="2"/>
  <c r="I12" i="2"/>
  <c r="L12" i="2"/>
  <c r="H13" i="2"/>
  <c r="I13" i="2"/>
  <c r="L13" i="2"/>
  <c r="H14" i="2"/>
  <c r="I14" i="2"/>
  <c r="L14" i="2"/>
  <c r="H15" i="2"/>
  <c r="I15" i="2"/>
  <c r="L15" i="2"/>
  <c r="H16" i="2"/>
  <c r="I16" i="2"/>
  <c r="L16" i="2"/>
  <c r="H17" i="2"/>
  <c r="I17" i="2"/>
  <c r="L17" i="2"/>
  <c r="H18" i="2"/>
  <c r="I18" i="2"/>
  <c r="L18" i="2"/>
  <c r="H19" i="2"/>
  <c r="I19" i="2"/>
  <c r="L19" i="2"/>
  <c r="H20" i="2"/>
  <c r="I20" i="2"/>
  <c r="L20" i="2"/>
  <c r="H21" i="2"/>
  <c r="I21" i="2"/>
  <c r="L21" i="2"/>
  <c r="H22" i="2"/>
  <c r="I22" i="2"/>
  <c r="L22" i="2"/>
  <c r="H23" i="2"/>
  <c r="I23" i="2"/>
  <c r="L23" i="2"/>
  <c r="H24" i="2"/>
  <c r="I24" i="2"/>
  <c r="L24" i="2"/>
  <c r="H25" i="2"/>
  <c r="I25" i="2"/>
  <c r="L25" i="2"/>
  <c r="H26" i="2"/>
  <c r="I26" i="2"/>
  <c r="L26" i="2"/>
  <c r="H27" i="2"/>
  <c r="I27" i="2"/>
  <c r="L27" i="2"/>
  <c r="H28" i="2"/>
  <c r="I28" i="2"/>
  <c r="L28" i="2"/>
  <c r="H29" i="2"/>
  <c r="I29" i="2"/>
  <c r="L29" i="2"/>
  <c r="H30" i="2"/>
  <c r="I30" i="2"/>
  <c r="L30" i="2"/>
  <c r="H31" i="2"/>
  <c r="I31" i="2"/>
  <c r="L31" i="2"/>
  <c r="I2" i="2"/>
  <c r="L2" i="2"/>
  <c r="H2" i="2"/>
  <c r="F2" i="6"/>
  <c r="G2" i="6"/>
  <c r="H2" i="6"/>
  <c r="F3" i="6"/>
  <c r="G3" i="6"/>
  <c r="H3" i="6"/>
  <c r="F4" i="6"/>
  <c r="G4" i="6"/>
  <c r="H4" i="6"/>
  <c r="F5" i="6"/>
  <c r="G5" i="6"/>
  <c r="H5" i="6"/>
  <c r="F6" i="6"/>
  <c r="G6" i="6"/>
  <c r="H6" i="6"/>
  <c r="F7" i="6"/>
  <c r="G7" i="6"/>
  <c r="H7" i="6"/>
  <c r="F8" i="6"/>
  <c r="G8" i="6"/>
  <c r="H8" i="6"/>
  <c r="F9" i="6"/>
  <c r="G9" i="6"/>
  <c r="H9" i="6"/>
  <c r="F10" i="6"/>
  <c r="G10" i="6"/>
  <c r="H10" i="6"/>
  <c r="F11" i="6"/>
  <c r="G11" i="6"/>
  <c r="H11" i="6"/>
  <c r="F12" i="6"/>
  <c r="G12" i="6"/>
  <c r="H12" i="6"/>
  <c r="F13" i="6"/>
  <c r="G13" i="6"/>
  <c r="H13" i="6"/>
  <c r="F14" i="6"/>
  <c r="G14" i="6"/>
  <c r="H14" i="6"/>
  <c r="F15" i="6"/>
  <c r="G15" i="6"/>
  <c r="H15" i="6"/>
  <c r="F16" i="6"/>
  <c r="G16" i="6"/>
  <c r="H16" i="6"/>
  <c r="F17" i="6"/>
  <c r="G17" i="6"/>
  <c r="H17" i="6"/>
  <c r="F18" i="6"/>
  <c r="G18" i="6"/>
  <c r="H18" i="6"/>
  <c r="F19" i="6"/>
  <c r="G19" i="6"/>
  <c r="H19" i="6"/>
  <c r="F20" i="6"/>
  <c r="G20" i="6"/>
  <c r="H20" i="6"/>
  <c r="F21" i="6"/>
  <c r="G21" i="6"/>
  <c r="H21" i="6"/>
  <c r="F22" i="6"/>
  <c r="G22" i="6"/>
  <c r="H22" i="6"/>
  <c r="F23" i="6"/>
  <c r="G23" i="6"/>
  <c r="H23" i="6"/>
  <c r="F24" i="6"/>
  <c r="G24" i="6"/>
  <c r="H24" i="6"/>
  <c r="F25" i="6"/>
  <c r="G25" i="6"/>
  <c r="H25" i="6"/>
  <c r="F26" i="6"/>
  <c r="G26" i="6"/>
  <c r="H26" i="6"/>
  <c r="F27" i="6"/>
  <c r="G27" i="6"/>
  <c r="H27" i="6"/>
  <c r="F28" i="6"/>
  <c r="G28" i="6"/>
  <c r="H28" i="6"/>
  <c r="F29" i="6"/>
  <c r="G29" i="6"/>
  <c r="H29" i="6"/>
  <c r="P29" i="2" l="1"/>
  <c r="Q29" i="2"/>
  <c r="P33" i="2"/>
  <c r="Q33" i="2"/>
  <c r="Q31" i="2"/>
  <c r="P31" i="2"/>
  <c r="Q34" i="2"/>
  <c r="P34" i="2"/>
  <c r="R34" i="2"/>
  <c r="P35" i="2"/>
  <c r="Q35" i="2"/>
  <c r="R35" i="2"/>
  <c r="P44" i="2"/>
  <c r="R44" i="2"/>
  <c r="Q44" i="2"/>
  <c r="Q45" i="2"/>
  <c r="R45" i="2"/>
  <c r="P56" i="2"/>
  <c r="Q56" i="2"/>
  <c r="P57" i="2"/>
  <c r="Q57" i="2"/>
  <c r="R57" i="2"/>
  <c r="Q46" i="2"/>
  <c r="P46" i="2"/>
  <c r="R46" i="2"/>
  <c r="P89" i="2"/>
  <c r="Q89" i="2"/>
  <c r="R89" i="2"/>
  <c r="P59" i="2"/>
  <c r="Q59" i="2"/>
  <c r="P84" i="2"/>
  <c r="Q84" i="2"/>
  <c r="T28" i="2"/>
  <c r="T29" i="2"/>
  <c r="T31" i="2"/>
  <c r="T4" i="2"/>
  <c r="T5" i="2"/>
  <c r="T8" i="2"/>
  <c r="R48" i="2"/>
  <c r="Q48" i="2"/>
  <c r="P48" i="2"/>
  <c r="P58" i="2"/>
  <c r="Q58" i="2"/>
  <c r="Q90" i="2"/>
  <c r="P90" i="2"/>
  <c r="R90" i="2"/>
  <c r="P91" i="2"/>
  <c r="Q91" i="2"/>
  <c r="C2" i="9" a="1"/>
  <c r="B2" i="9" a="1"/>
  <c r="Z84" i="2"/>
  <c r="R64" i="2"/>
  <c r="P64" i="2"/>
  <c r="Q64" i="2"/>
  <c r="P69" i="2"/>
  <c r="Q69" i="2"/>
  <c r="R70" i="2"/>
  <c r="Q70" i="2"/>
  <c r="P70" i="2"/>
  <c r="P71" i="2"/>
  <c r="Q71" i="2"/>
  <c r="R71" i="2"/>
  <c r="Q79" i="2"/>
  <c r="R79" i="2"/>
  <c r="P79" i="2"/>
  <c r="P80" i="2"/>
  <c r="R80" i="2"/>
  <c r="Q80" i="2"/>
  <c r="P81" i="2"/>
  <c r="R81" i="2"/>
  <c r="Q81" i="2"/>
  <c r="Q82" i="2"/>
  <c r="P82" i="2"/>
  <c r="R86" i="2"/>
  <c r="P86" i="2"/>
  <c r="Q86" i="2"/>
  <c r="P87" i="2"/>
  <c r="Q87" i="2"/>
  <c r="R87" i="2"/>
  <c r="Z39" i="2"/>
  <c r="Q54" i="2"/>
  <c r="R54" i="2"/>
  <c r="T38" i="2"/>
  <c r="T24" i="2"/>
  <c r="T25" i="2"/>
  <c r="T26" i="2"/>
  <c r="P51" i="2"/>
  <c r="Q51" i="2"/>
  <c r="R51" i="2"/>
  <c r="P75" i="2"/>
  <c r="Q75" i="2"/>
  <c r="R75" i="2"/>
  <c r="R38" i="2"/>
  <c r="P38" i="2"/>
  <c r="Q38" i="2"/>
  <c r="P62" i="2"/>
  <c r="Q62" i="2"/>
  <c r="R62" i="2"/>
  <c r="Z45" i="2"/>
  <c r="T14" i="2"/>
  <c r="T16" i="2"/>
  <c r="T17" i="2"/>
  <c r="P17" i="2"/>
  <c r="Q17" i="2"/>
  <c r="R17" i="2"/>
  <c r="R18" i="2"/>
  <c r="Q18" i="2"/>
  <c r="P18" i="2"/>
  <c r="P19" i="2"/>
  <c r="R19" i="2"/>
  <c r="Q19" i="2"/>
  <c r="P20" i="2"/>
  <c r="Q20" i="2"/>
  <c r="R20" i="2"/>
  <c r="Q22" i="2"/>
  <c r="P22" i="2"/>
  <c r="R22" i="2"/>
  <c r="R23" i="2"/>
  <c r="P23" i="2"/>
  <c r="Q23" i="2"/>
  <c r="T57" i="2"/>
  <c r="T58" i="2"/>
  <c r="T61" i="2"/>
  <c r="T59" i="2"/>
  <c r="T88" i="2"/>
  <c r="T89" i="2"/>
  <c r="T18" i="2"/>
  <c r="T20" i="2"/>
  <c r="P73" i="2"/>
  <c r="Q73" i="2"/>
  <c r="R73" i="2"/>
  <c r="T21" i="2"/>
  <c r="T22" i="2"/>
  <c r="T23" i="2"/>
  <c r="Q83" i="2"/>
  <c r="P83" i="2"/>
  <c r="P85" i="2"/>
  <c r="Q85" i="2"/>
  <c r="R85" i="2"/>
  <c r="T50" i="2"/>
  <c r="T51" i="2"/>
  <c r="T62" i="2"/>
  <c r="T63" i="2"/>
  <c r="T64" i="2"/>
  <c r="T66" i="2"/>
  <c r="R37" i="2"/>
  <c r="P37" i="2"/>
  <c r="Q37" i="2"/>
  <c r="P74" i="2"/>
  <c r="Q74" i="2"/>
  <c r="R74" i="2"/>
  <c r="Z38" i="2"/>
  <c r="T60" i="2"/>
  <c r="T72" i="2"/>
  <c r="T73" i="2"/>
  <c r="T74" i="2"/>
  <c r="T75" i="2"/>
  <c r="T84" i="2"/>
  <c r="T85" i="2"/>
  <c r="T90" i="2"/>
  <c r="T91" i="2"/>
  <c r="P25" i="2"/>
  <c r="Q25" i="2"/>
  <c r="R25" i="2"/>
  <c r="P50" i="2"/>
  <c r="Q50" i="2"/>
  <c r="R50" i="2"/>
  <c r="P61" i="2"/>
  <c r="Q61" i="2"/>
  <c r="R61" i="2"/>
  <c r="Z85" i="2"/>
  <c r="Z29" i="2"/>
  <c r="Z24" i="2"/>
  <c r="T76" i="2"/>
  <c r="T86" i="2"/>
  <c r="T40" i="2"/>
  <c r="T41" i="2"/>
  <c r="T44" i="2"/>
  <c r="T52" i="2"/>
  <c r="T53" i="2"/>
  <c r="T54" i="2"/>
  <c r="T67" i="2"/>
  <c r="T68" i="2"/>
  <c r="T69" i="2"/>
  <c r="T78" i="2"/>
  <c r="T79" i="2"/>
  <c r="T80" i="2"/>
  <c r="T81" i="2"/>
  <c r="T82" i="2"/>
  <c r="T83" i="2"/>
  <c r="Q3" i="2"/>
  <c r="R3" i="2"/>
  <c r="P3" i="2"/>
  <c r="P6" i="2"/>
  <c r="Q6" i="2"/>
  <c r="R6" i="2"/>
  <c r="Q8" i="2"/>
  <c r="P8" i="2"/>
  <c r="R8" i="2"/>
  <c r="P24" i="2"/>
  <c r="Q24" i="2"/>
  <c r="R24" i="2"/>
  <c r="P36" i="2"/>
  <c r="Q36" i="2"/>
  <c r="R36" i="2"/>
  <c r="R60" i="2"/>
  <c r="Q60" i="2"/>
  <c r="P60" i="2"/>
  <c r="P72" i="2"/>
  <c r="Q72" i="2"/>
  <c r="R72" i="2"/>
  <c r="Z65" i="2"/>
  <c r="Z67" i="2"/>
  <c r="Z56" i="2"/>
  <c r="AA56" i="2" s="1" a="1"/>
  <c r="Z17" i="2"/>
  <c r="Z62" i="2"/>
  <c r="Z58" i="2"/>
  <c r="Z86" i="2"/>
  <c r="AA86" i="2" s="1" a="1"/>
  <c r="Z20" i="2"/>
  <c r="Z26" i="2"/>
  <c r="AA26" i="2" s="1" a="1"/>
  <c r="Z25" i="2"/>
  <c r="AA25" i="2" s="1" a="1"/>
  <c r="Z74" i="2"/>
  <c r="T32" i="2"/>
  <c r="T33" i="2"/>
  <c r="T34" i="2"/>
  <c r="T35" i="2"/>
  <c r="T36" i="2"/>
  <c r="T37" i="2"/>
  <c r="T47" i="2"/>
  <c r="T87" i="2"/>
  <c r="T10" i="2"/>
  <c r="T11" i="2"/>
  <c r="T13" i="2"/>
  <c r="T55" i="2"/>
  <c r="T56" i="2"/>
  <c r="T70" i="2"/>
  <c r="T71" i="2"/>
  <c r="T12" i="2"/>
  <c r="R4" i="2"/>
  <c r="P4" i="2"/>
  <c r="Q4" i="2"/>
  <c r="Q11" i="2"/>
  <c r="R11" i="2"/>
  <c r="P11" i="2"/>
  <c r="Q12" i="2"/>
  <c r="P12" i="2"/>
  <c r="R13" i="2"/>
  <c r="Q13" i="2"/>
  <c r="P13" i="2"/>
  <c r="R14" i="2"/>
  <c r="Q14" i="2"/>
  <c r="P14" i="2"/>
  <c r="P27" i="2"/>
  <c r="Q27" i="2"/>
  <c r="R27" i="2"/>
  <c r="R39" i="2"/>
  <c r="Q39" i="2"/>
  <c r="P39" i="2"/>
  <c r="R76" i="2"/>
  <c r="Q76" i="2"/>
  <c r="P76" i="2"/>
  <c r="Q78" i="2"/>
  <c r="R78" i="2"/>
  <c r="R88" i="2"/>
  <c r="Q88" i="2"/>
  <c r="P88" i="2"/>
  <c r="Z70" i="2"/>
  <c r="Z31" i="2"/>
  <c r="AA31" i="2" s="1" a="1"/>
  <c r="Z13" i="2"/>
  <c r="AA13" i="2" s="1" a="1"/>
  <c r="U41" i="2"/>
  <c r="Z15" i="2"/>
  <c r="AA15" i="2" s="1" a="1"/>
  <c r="Z10" i="2"/>
  <c r="U26" i="2"/>
  <c r="U27" i="2"/>
  <c r="U29" i="2"/>
  <c r="Z18" i="2"/>
  <c r="AA18" i="2" s="1" a="1"/>
  <c r="T46" i="2"/>
  <c r="Z55" i="2"/>
  <c r="Z9" i="2"/>
  <c r="Z42" i="2"/>
  <c r="AA42" i="2" s="1" a="1"/>
  <c r="Z16" i="2"/>
  <c r="AA16" i="2" s="1" a="1"/>
  <c r="Z7" i="2"/>
  <c r="U5" i="2"/>
  <c r="X5" i="2" s="1"/>
  <c r="Z41" i="2"/>
  <c r="AA41" i="2" s="1" a="1"/>
  <c r="Z63" i="2"/>
  <c r="Z35" i="2"/>
  <c r="AA35" i="2" s="1" a="1"/>
  <c r="Z21" i="2"/>
  <c r="AA21" i="2" s="1" a="1"/>
  <c r="Z46" i="2"/>
  <c r="T3" i="2"/>
  <c r="Q5" i="2"/>
  <c r="P5" i="2"/>
  <c r="T6" i="2"/>
  <c r="Z44" i="2"/>
  <c r="Q7" i="2"/>
  <c r="R7" i="2"/>
  <c r="T7" i="2"/>
  <c r="Z76" i="2"/>
  <c r="AA76" i="2" s="1" a="1"/>
  <c r="Z50" i="2"/>
  <c r="AA50" i="2" s="1" a="1"/>
  <c r="Z48" i="2"/>
  <c r="AA48" i="2" s="1" a="1"/>
  <c r="P9" i="2"/>
  <c r="R9" i="2"/>
  <c r="Q9" i="2"/>
  <c r="Z64" i="2"/>
  <c r="AA64" i="2" s="1" a="1"/>
  <c r="T9" i="2"/>
  <c r="P10" i="2"/>
  <c r="Q10" i="2"/>
  <c r="R10" i="2"/>
  <c r="Z22" i="2"/>
  <c r="Z37" i="2"/>
  <c r="AA37" i="2" s="1" a="1"/>
  <c r="R21" i="2"/>
  <c r="Q21" i="2"/>
  <c r="P21" i="2"/>
  <c r="Q32" i="2"/>
  <c r="R32" i="2"/>
  <c r="P32" i="2"/>
  <c r="Q43" i="2"/>
  <c r="R43" i="2"/>
  <c r="Q55" i="2"/>
  <c r="R55" i="2"/>
  <c r="P55" i="2"/>
  <c r="Q65" i="2"/>
  <c r="R65" i="2"/>
  <c r="P65" i="2"/>
  <c r="T2" i="2"/>
  <c r="Z66" i="2"/>
  <c r="P2" i="2"/>
  <c r="Q2" i="2"/>
  <c r="R2" i="2"/>
  <c r="U31" i="2"/>
  <c r="U3" i="2"/>
  <c r="U4" i="2"/>
  <c r="U59" i="2"/>
  <c r="U87" i="2"/>
  <c r="U6" i="2"/>
  <c r="U69" i="2"/>
  <c r="U50" i="2"/>
  <c r="U32" i="2"/>
  <c r="U88" i="2"/>
  <c r="U78" i="2"/>
  <c r="U7" i="2"/>
  <c r="U51" i="2"/>
  <c r="U89" i="2"/>
  <c r="U33" i="2"/>
  <c r="U8" i="2"/>
  <c r="U13" i="2"/>
  <c r="U70" i="2"/>
  <c r="U79" i="2"/>
  <c r="U9" i="2"/>
  <c r="U34" i="2"/>
  <c r="U60" i="2"/>
  <c r="U10" i="2"/>
  <c r="U14" i="2"/>
  <c r="U52" i="2"/>
  <c r="Z34" i="2"/>
  <c r="Z68" i="2"/>
  <c r="AA68" i="2" s="1" a="1"/>
  <c r="U11" i="2"/>
  <c r="U90" i="2"/>
  <c r="U35" i="2"/>
  <c r="U80" i="2"/>
  <c r="U71" i="2"/>
  <c r="R12" i="2"/>
  <c r="U12" i="2"/>
  <c r="Z49" i="2"/>
  <c r="Z33" i="2"/>
  <c r="AA33" i="2" s="1" a="1"/>
  <c r="Z32" i="2"/>
  <c r="Z87" i="2"/>
  <c r="AA87" i="2" s="1" a="1"/>
  <c r="T15" i="2"/>
  <c r="Z4" i="2"/>
  <c r="U15" i="2"/>
  <c r="U53" i="2"/>
  <c r="U22" i="2"/>
  <c r="U61" i="2"/>
  <c r="U81" i="2"/>
  <c r="U16" i="2"/>
  <c r="Z79" i="2"/>
  <c r="AA79" i="2" s="1" a="1"/>
  <c r="Z61" i="2"/>
  <c r="AA61" i="2" s="1" a="1"/>
  <c r="U72" i="2"/>
  <c r="U17" i="2"/>
  <c r="U18" i="2"/>
  <c r="U91" i="2"/>
  <c r="U36" i="2"/>
  <c r="U54" i="2"/>
  <c r="T19" i="2"/>
  <c r="Z88" i="2"/>
  <c r="AA88" i="2" s="1" a="1"/>
  <c r="Z78" i="2"/>
  <c r="U82" i="2"/>
  <c r="U62" i="2"/>
  <c r="U19" i="2"/>
  <c r="Z11" i="2"/>
  <c r="Z80" i="2"/>
  <c r="AA80" i="2" s="1" a="1"/>
  <c r="U23" i="2"/>
  <c r="U37" i="2"/>
  <c r="U2" i="2"/>
  <c r="U20" i="2"/>
  <c r="Z3" i="2"/>
  <c r="U21" i="2"/>
  <c r="U73" i="2"/>
  <c r="U55" i="2"/>
  <c r="Z81" i="2"/>
  <c r="Z91" i="2"/>
  <c r="AA91" i="2" s="1" a="1"/>
  <c r="Z36" i="2"/>
  <c r="U24" i="2"/>
  <c r="U83" i="2"/>
  <c r="Q26" i="2"/>
  <c r="P26" i="2"/>
  <c r="U25" i="2"/>
  <c r="R26" i="2"/>
  <c r="Z83" i="2"/>
  <c r="AA83" i="2" s="1" a="1"/>
  <c r="Z90" i="2"/>
  <c r="Z82" i="2"/>
  <c r="AA82" i="2" s="1" a="1"/>
  <c r="T27" i="2"/>
  <c r="Z19" i="2"/>
  <c r="Z54" i="2"/>
  <c r="AA54" i="2" s="1" a="1"/>
  <c r="Z14" i="2"/>
  <c r="Z73" i="2"/>
  <c r="AA73" i="2" s="1" a="1"/>
  <c r="Z71" i="2"/>
  <c r="AA71" i="2" s="1" a="1"/>
  <c r="U84" i="2"/>
  <c r="U56" i="2"/>
  <c r="U74" i="2"/>
  <c r="U63" i="2"/>
  <c r="U28" i="2"/>
  <c r="U38" i="2"/>
  <c r="T30" i="2"/>
  <c r="Z77" i="2"/>
  <c r="AA77" i="2" s="1" a="1"/>
  <c r="Z60" i="2"/>
  <c r="AA60" i="2" s="1" a="1"/>
  <c r="Z51" i="2"/>
  <c r="Z52" i="2"/>
  <c r="Z12" i="2"/>
  <c r="AA12" i="2" s="1" a="1"/>
  <c r="Z69" i="2"/>
  <c r="AA69" i="2" s="1" a="1"/>
  <c r="T39" i="2"/>
  <c r="U30" i="2"/>
  <c r="Q40" i="2"/>
  <c r="R40" i="2"/>
  <c r="U40" i="2"/>
  <c r="U39" i="2"/>
  <c r="P40" i="2"/>
  <c r="Z89" i="2"/>
  <c r="Z5" i="2"/>
  <c r="AA5" i="2" s="1" a="1"/>
  <c r="Z2" i="2"/>
  <c r="AA2" i="2" s="1" a="1"/>
  <c r="Z59" i="2"/>
  <c r="AA59" i="2" s="1" a="1"/>
  <c r="Z40" i="2"/>
  <c r="AA40" i="2" s="1" a="1"/>
  <c r="T42" i="2"/>
  <c r="U85" i="2"/>
  <c r="P43" i="2"/>
  <c r="T43" i="2"/>
  <c r="Z30" i="2"/>
  <c r="AA30" i="2" s="1" a="1"/>
  <c r="U43" i="2"/>
  <c r="U42" i="2"/>
  <c r="Z72" i="2"/>
  <c r="AA72" i="2" s="1" a="1"/>
  <c r="Z6" i="2"/>
  <c r="AA6" i="2" s="1" a="1"/>
  <c r="Z53" i="2"/>
  <c r="AA53" i="2" s="1" a="1"/>
  <c r="U75" i="2"/>
  <c r="U64" i="2"/>
  <c r="U57" i="2"/>
  <c r="U44" i="2"/>
  <c r="P45" i="2"/>
  <c r="Z23" i="2"/>
  <c r="AA23" i="2" s="1" a="1"/>
  <c r="T45" i="2"/>
  <c r="U45" i="2"/>
  <c r="Q47" i="2"/>
  <c r="P47" i="2"/>
  <c r="Z8" i="2"/>
  <c r="Z57" i="2"/>
  <c r="U86" i="2"/>
  <c r="U46" i="2"/>
  <c r="Z47" i="2"/>
  <c r="T48" i="2"/>
  <c r="U49" i="2"/>
  <c r="U47" i="2"/>
  <c r="X47" i="2" s="1"/>
  <c r="R49" i="2"/>
  <c r="Q49" i="2"/>
  <c r="P49" i="2"/>
  <c r="U58" i="2"/>
  <c r="U48" i="2"/>
  <c r="Z28" i="2"/>
  <c r="T49" i="2"/>
  <c r="Z75" i="2"/>
  <c r="Z27" i="2"/>
  <c r="T65" i="2"/>
  <c r="R66" i="2"/>
  <c r="Q66" i="2"/>
  <c r="P66" i="2"/>
  <c r="U66" i="2"/>
  <c r="P67" i="2"/>
  <c r="Q67" i="2"/>
  <c r="U65" i="2"/>
  <c r="R67" i="2"/>
  <c r="U67" i="2"/>
  <c r="P68" i="2"/>
  <c r="Q68" i="2"/>
  <c r="R68" i="2"/>
  <c r="U68" i="2"/>
  <c r="P77" i="2"/>
  <c r="U77" i="2"/>
  <c r="R77" i="2"/>
  <c r="U76" i="2"/>
  <c r="Q77" i="2"/>
  <c r="Z43" i="2"/>
  <c r="T77" i="2"/>
  <c r="AA84" i="2" l="1" a="1"/>
  <c r="AA29" i="2" a="1"/>
  <c r="AA24" i="2" a="1"/>
  <c r="AA63" i="2" a="1"/>
  <c r="AA39" i="2" a="1"/>
  <c r="AA45" i="2" a="1"/>
  <c r="AA67" i="2" a="1"/>
  <c r="AA62" i="2" a="1"/>
  <c r="AA74" i="2" a="1"/>
  <c r="AA55" i="2" a="1"/>
  <c r="AA22" i="2" a="1"/>
  <c r="AA38" i="2" a="1"/>
  <c r="AA85" i="2" a="1"/>
  <c r="AA65" i="2" a="1"/>
  <c r="AA17" i="2" a="1"/>
  <c r="AA58" i="2" a="1"/>
  <c r="AA20" i="2" a="1"/>
  <c r="AA10" i="2" a="1"/>
  <c r="AA9" i="2" a="1"/>
  <c r="AA46" i="2" a="1"/>
  <c r="AA14" i="2" a="1"/>
  <c r="AA70" i="2" a="1"/>
  <c r="AA44" i="2" a="1"/>
  <c r="AA7" i="2" a="1"/>
  <c r="AA66" i="2" a="1"/>
  <c r="AA34" i="2" a="1"/>
  <c r="AA4" i="2" a="1"/>
  <c r="AA78" i="2" a="1"/>
  <c r="AA49" i="2" a="1"/>
  <c r="AA32" i="2" a="1"/>
  <c r="AA11" i="2" a="1"/>
  <c r="AA3" i="2" a="1"/>
  <c r="AA81" i="2" a="1"/>
  <c r="AA36" i="2" a="1"/>
  <c r="AA90" i="2" a="1"/>
  <c r="AA19" i="2" a="1"/>
  <c r="AA51" i="2" a="1"/>
  <c r="AA52" i="2" a="1"/>
  <c r="AA89" i="2" a="1"/>
  <c r="AA8" i="2" a="1"/>
  <c r="AA57" i="2" a="1"/>
  <c r="AA47" i="2" a="1"/>
  <c r="AA28" i="2" a="1"/>
  <c r="AA75" i="2" a="1"/>
  <c r="AA27" i="2" a="1"/>
  <c r="AA43" i="2" a="1"/>
  <c r="X77" i="2"/>
  <c r="W77" i="2"/>
  <c r="V41" i="2"/>
  <c r="W41" i="2"/>
  <c r="X41" i="2"/>
  <c r="V40" i="2"/>
  <c r="X29" i="2"/>
  <c r="W29" i="2"/>
  <c r="V29" i="2"/>
  <c r="Y29" i="2" s="1"/>
  <c r="W5" i="2"/>
  <c r="V5" i="2"/>
  <c r="W26" i="2"/>
  <c r="V26" i="2"/>
  <c r="X26" i="2"/>
  <c r="V49" i="2"/>
  <c r="X49" i="2"/>
  <c r="X27" i="2"/>
  <c r="V27" i="2"/>
  <c r="W27" i="2"/>
  <c r="V68" i="2"/>
  <c r="X31" i="2"/>
  <c r="W31" i="2"/>
  <c r="V31" i="2"/>
  <c r="Y31" i="2" s="1"/>
  <c r="X3" i="2"/>
  <c r="W3" i="2"/>
  <c r="V3" i="2"/>
  <c r="X4" i="2"/>
  <c r="W4" i="2"/>
  <c r="V4" i="2"/>
  <c r="X59" i="2"/>
  <c r="W59" i="2"/>
  <c r="V59" i="2"/>
  <c r="Y59" i="2" s="1"/>
  <c r="X87" i="2"/>
  <c r="W87" i="2"/>
  <c r="V87" i="2"/>
  <c r="W6" i="2"/>
  <c r="X6" i="2"/>
  <c r="V6" i="2"/>
  <c r="X69" i="2"/>
  <c r="W69" i="2"/>
  <c r="V69" i="2"/>
  <c r="X50" i="2"/>
  <c r="W50" i="2"/>
  <c r="V50" i="2"/>
  <c r="Y50" i="2" s="1"/>
  <c r="X32" i="2"/>
  <c r="W32" i="2"/>
  <c r="V32" i="2"/>
  <c r="X88" i="2"/>
  <c r="W88" i="2"/>
  <c r="V88" i="2"/>
  <c r="Y88" i="2" s="1"/>
  <c r="X78" i="2"/>
  <c r="W78" i="2"/>
  <c r="V78" i="2"/>
  <c r="W7" i="2"/>
  <c r="V7" i="2"/>
  <c r="X7" i="2"/>
  <c r="X51" i="2"/>
  <c r="W51" i="2"/>
  <c r="V51" i="2"/>
  <c r="Y51" i="2" s="1"/>
  <c r="X89" i="2"/>
  <c r="W89" i="2"/>
  <c r="V89" i="2"/>
  <c r="X33" i="2"/>
  <c r="W33" i="2"/>
  <c r="V33" i="2"/>
  <c r="X8" i="2"/>
  <c r="V8" i="2"/>
  <c r="W8" i="2"/>
  <c r="X13" i="2"/>
  <c r="W13" i="2"/>
  <c r="V13" i="2"/>
  <c r="X70" i="2"/>
  <c r="W70" i="2"/>
  <c r="V70" i="2"/>
  <c r="Y70" i="2" s="1"/>
  <c r="X79" i="2"/>
  <c r="W79" i="2"/>
  <c r="V79" i="2"/>
  <c r="Y79" i="2" s="1"/>
  <c r="W9" i="2"/>
  <c r="V9" i="2"/>
  <c r="X9" i="2"/>
  <c r="X34" i="2"/>
  <c r="W34" i="2"/>
  <c r="V34" i="2"/>
  <c r="X60" i="2"/>
  <c r="W60" i="2"/>
  <c r="V60" i="2"/>
  <c r="Y60" i="2" s="1"/>
  <c r="X10" i="2"/>
  <c r="W10" i="2"/>
  <c r="V10" i="2"/>
  <c r="X14" i="2"/>
  <c r="W14" i="2"/>
  <c r="V14" i="2"/>
  <c r="X52" i="2"/>
  <c r="W52" i="2"/>
  <c r="V52" i="2"/>
  <c r="X11" i="2"/>
  <c r="W11" i="2"/>
  <c r="V11" i="2"/>
  <c r="Y11" i="2" s="1"/>
  <c r="X90" i="2"/>
  <c r="W90" i="2"/>
  <c r="V90" i="2"/>
  <c r="Y90" i="2" s="1"/>
  <c r="X35" i="2"/>
  <c r="W35" i="2"/>
  <c r="V35" i="2"/>
  <c r="X80" i="2"/>
  <c r="W80" i="2"/>
  <c r="V80" i="2"/>
  <c r="Y80" i="2" s="1"/>
  <c r="X71" i="2"/>
  <c r="W71" i="2"/>
  <c r="V71" i="2"/>
  <c r="Y71" i="2" s="1"/>
  <c r="W12" i="2"/>
  <c r="V12" i="2"/>
  <c r="X15" i="2"/>
  <c r="V15" i="2"/>
  <c r="W15" i="2"/>
  <c r="X53" i="2"/>
  <c r="W53" i="2"/>
  <c r="V53" i="2"/>
  <c r="X22" i="2"/>
  <c r="W22" i="2"/>
  <c r="V22" i="2"/>
  <c r="Y22" i="2" s="1"/>
  <c r="X61" i="2"/>
  <c r="W61" i="2"/>
  <c r="V61" i="2"/>
  <c r="X81" i="2"/>
  <c r="W81" i="2"/>
  <c r="V81" i="2"/>
  <c r="Y81" i="2" s="1"/>
  <c r="W16" i="2"/>
  <c r="V16" i="2"/>
  <c r="X16" i="2"/>
  <c r="X72" i="2"/>
  <c r="W72" i="2"/>
  <c r="V72" i="2"/>
  <c r="Y72" i="2" s="1"/>
  <c r="X17" i="2"/>
  <c r="V17" i="2"/>
  <c r="W17" i="2"/>
  <c r="W18" i="2"/>
  <c r="X18" i="2"/>
  <c r="V18" i="2"/>
  <c r="X91" i="2"/>
  <c r="W91" i="2"/>
  <c r="V91" i="2"/>
  <c r="X36" i="2"/>
  <c r="W36" i="2"/>
  <c r="V36" i="2"/>
  <c r="X54" i="2"/>
  <c r="W54" i="2"/>
  <c r="V54" i="2"/>
  <c r="X82" i="2"/>
  <c r="W82" i="2"/>
  <c r="V82" i="2"/>
  <c r="X62" i="2"/>
  <c r="W62" i="2"/>
  <c r="V62" i="2"/>
  <c r="X19" i="2"/>
  <c r="W19" i="2"/>
  <c r="V19" i="2"/>
  <c r="Y19" i="2" s="1"/>
  <c r="X23" i="2"/>
  <c r="W23" i="2"/>
  <c r="V23" i="2"/>
  <c r="X37" i="2"/>
  <c r="W37" i="2"/>
  <c r="V37" i="2"/>
  <c r="X20" i="2"/>
  <c r="V20" i="2"/>
  <c r="W20" i="2"/>
  <c r="X21" i="2"/>
  <c r="W21" i="2"/>
  <c r="V21" i="2"/>
  <c r="X73" i="2"/>
  <c r="W73" i="2"/>
  <c r="V73" i="2"/>
  <c r="Y73" i="2" s="1"/>
  <c r="X55" i="2"/>
  <c r="W55" i="2"/>
  <c r="V55" i="2"/>
  <c r="Y55" i="2" s="1"/>
  <c r="X24" i="2"/>
  <c r="W24" i="2"/>
  <c r="V24" i="2"/>
  <c r="Y24" i="2" s="1"/>
  <c r="X83" i="2"/>
  <c r="W83" i="2"/>
  <c r="V83" i="2"/>
  <c r="W25" i="2"/>
  <c r="V25" i="2"/>
  <c r="X25" i="2"/>
  <c r="X84" i="2"/>
  <c r="W84" i="2"/>
  <c r="V84" i="2"/>
  <c r="X56" i="2"/>
  <c r="W56" i="2"/>
  <c r="V56" i="2"/>
  <c r="Y56" i="2" s="1"/>
  <c r="X74" i="2"/>
  <c r="W74" i="2"/>
  <c r="V74" i="2"/>
  <c r="X63" i="2"/>
  <c r="W63" i="2"/>
  <c r="V63" i="2"/>
  <c r="Y63" i="2" s="1"/>
  <c r="V28" i="2"/>
  <c r="X28" i="2"/>
  <c r="W28" i="2"/>
  <c r="X38" i="2"/>
  <c r="W38" i="2"/>
  <c r="V38" i="2"/>
  <c r="W30" i="2"/>
  <c r="X30" i="2"/>
  <c r="V30" i="2"/>
  <c r="X39" i="2"/>
  <c r="V39" i="2"/>
  <c r="W39" i="2"/>
  <c r="X85" i="2"/>
  <c r="W85" i="2"/>
  <c r="V85" i="2"/>
  <c r="X43" i="2"/>
  <c r="W43" i="2"/>
  <c r="X42" i="2"/>
  <c r="W42" i="2"/>
  <c r="V42" i="2"/>
  <c r="Y42" i="2" s="1"/>
  <c r="X75" i="2"/>
  <c r="W75" i="2"/>
  <c r="V75" i="2"/>
  <c r="X64" i="2"/>
  <c r="W64" i="2"/>
  <c r="V64" i="2"/>
  <c r="Y64" i="2" s="1"/>
  <c r="X57" i="2"/>
  <c r="W57" i="2"/>
  <c r="V57" i="2"/>
  <c r="X44" i="2"/>
  <c r="W44" i="2"/>
  <c r="V44" i="2"/>
  <c r="X45" i="2"/>
  <c r="W45" i="2"/>
  <c r="X86" i="2"/>
  <c r="W86" i="2"/>
  <c r="V86" i="2"/>
  <c r="Y86" i="2" s="1"/>
  <c r="X46" i="2"/>
  <c r="W46" i="2"/>
  <c r="V46" i="2"/>
  <c r="Y46" i="2" s="1"/>
  <c r="X58" i="2"/>
  <c r="W58" i="2"/>
  <c r="V58" i="2"/>
  <c r="Y58" i="2" s="1"/>
  <c r="X48" i="2"/>
  <c r="W48" i="2"/>
  <c r="V48" i="2"/>
  <c r="X65" i="2"/>
  <c r="W65" i="2"/>
  <c r="V65" i="2"/>
  <c r="W76" i="2"/>
  <c r="V76" i="2"/>
  <c r="X76" i="2"/>
  <c r="X12" i="2"/>
  <c r="W40" i="2"/>
  <c r="X40" i="2"/>
  <c r="V66" i="2"/>
  <c r="W67" i="2"/>
  <c r="X67" i="2"/>
  <c r="V43" i="2"/>
  <c r="V45" i="2"/>
  <c r="W47" i="2"/>
  <c r="V47" i="2"/>
  <c r="Y47" i="2" s="1"/>
  <c r="W49" i="2"/>
  <c r="X66" i="2"/>
  <c r="W66" i="2"/>
  <c r="V67" i="2"/>
  <c r="Y67" i="2" s="1"/>
  <c r="W68" i="2"/>
  <c r="X68" i="2"/>
  <c r="V77" i="2"/>
  <c r="W2" i="2"/>
  <c r="V2" i="2"/>
  <c r="X2" i="2"/>
  <c r="Y5" i="2" l="1"/>
  <c r="Y10" i="2"/>
  <c r="Y48" i="2"/>
  <c r="Y21" i="2"/>
  <c r="Y75" i="2"/>
  <c r="Y74" i="2"/>
  <c r="Y2" i="2"/>
  <c r="B3" i="15" s="1"/>
  <c r="Y91" i="2"/>
  <c r="Y38" i="2"/>
  <c r="Y82" i="2"/>
  <c r="Y65" i="2"/>
  <c r="Y87" i="2"/>
  <c r="Y14" i="2"/>
  <c r="Y83" i="2"/>
  <c r="Y62" i="2"/>
  <c r="Y85" i="2"/>
  <c r="Y57" i="2"/>
  <c r="Y77" i="2"/>
  <c r="Y32" i="2"/>
  <c r="Y13" i="2"/>
  <c r="Y30" i="2"/>
  <c r="Y18" i="2"/>
  <c r="Y52" i="2"/>
  <c r="Y41" i="2"/>
  <c r="Y3" i="2"/>
  <c r="Y23" i="2"/>
  <c r="Y43" i="2"/>
  <c r="Y26" i="2"/>
  <c r="Y53" i="2"/>
  <c r="Y4" i="2"/>
  <c r="Y37" i="2"/>
  <c r="Y49" i="2"/>
  <c r="Y44" i="2"/>
  <c r="Y27" i="2"/>
  <c r="Y78" i="2"/>
  <c r="Y54" i="2"/>
  <c r="Y45" i="2"/>
  <c r="Y6" i="2"/>
  <c r="Y33" i="2"/>
  <c r="Y61" i="2"/>
  <c r="Y69" i="2"/>
  <c r="Y89" i="2"/>
  <c r="Y8" i="2"/>
  <c r="Y9" i="2"/>
  <c r="Y34" i="2"/>
  <c r="Y35" i="2"/>
  <c r="Y12" i="2"/>
  <c r="Y15" i="2"/>
  <c r="Y36" i="2"/>
  <c r="Y20" i="2"/>
  <c r="Y25" i="2"/>
  <c r="Y84" i="2"/>
  <c r="Y7" i="2"/>
  <c r="Y16" i="2"/>
  <c r="Y17" i="2"/>
  <c r="Y28" i="2"/>
  <c r="Y39" i="2"/>
  <c r="Y40" i="2"/>
  <c r="Y66" i="2"/>
  <c r="Y76" i="2"/>
  <c r="Y68"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<sst xmlns="http://schemas.openxmlformats.org/spreadsheetml/2006/main" count="621" uniqueCount="195">
  <si>
    <t>Monitor</t>
  </si>
  <si>
    <t>East</t>
  </si>
  <si>
    <t>Q1-030</t>
  </si>
  <si>
    <t>Printer</t>
  </si>
  <si>
    <t>West</t>
  </si>
  <si>
    <t>Q1-029</t>
  </si>
  <si>
    <t>Q1-028</t>
  </si>
  <si>
    <t>Q1-027</t>
  </si>
  <si>
    <t>Headphones</t>
  </si>
  <si>
    <t>North</t>
  </si>
  <si>
    <t>Q1-026</t>
  </si>
  <si>
    <t>South</t>
  </si>
  <si>
    <t>Q1-025</t>
  </si>
  <si>
    <t>Q1-024</t>
  </si>
  <si>
    <t>Laptop</t>
  </si>
  <si>
    <t>Q1-023</t>
  </si>
  <si>
    <t>Q1-022</t>
  </si>
  <si>
    <t>Q1-021</t>
  </si>
  <si>
    <t>Q1-020</t>
  </si>
  <si>
    <t>Q1-019</t>
  </si>
  <si>
    <t>Q1-018</t>
  </si>
  <si>
    <t>Smartphone</t>
  </si>
  <si>
    <t>Q1-017</t>
  </si>
  <si>
    <t>Q1-016</t>
  </si>
  <si>
    <t>Q1-015</t>
  </si>
  <si>
    <t>Q1-014</t>
  </si>
  <si>
    <t>Q1-013</t>
  </si>
  <si>
    <t>Q1-012</t>
  </si>
  <si>
    <t>Q1-011</t>
  </si>
  <si>
    <t>Q1-010</t>
  </si>
  <si>
    <t>Q1-009</t>
  </si>
  <si>
    <t>Tablet</t>
  </si>
  <si>
    <t>Q1-008</t>
  </si>
  <si>
    <t>Q1-007</t>
  </si>
  <si>
    <t>Q1-006</t>
  </si>
  <si>
    <t>Q1-005</t>
  </si>
  <si>
    <t>Q1-004</t>
  </si>
  <si>
    <t>Q1-003</t>
  </si>
  <si>
    <t>Q1-002</t>
  </si>
  <si>
    <t>Q1-001</t>
  </si>
  <si>
    <t>UnitPrice</t>
  </si>
  <si>
    <t>Quantity</t>
  </si>
  <si>
    <t>Product</t>
  </si>
  <si>
    <t>CustomerID</t>
  </si>
  <si>
    <t>Region</t>
  </si>
  <si>
    <t>Date</t>
  </si>
  <si>
    <t>OrderID</t>
  </si>
  <si>
    <t>Q3-030</t>
  </si>
  <si>
    <t>Q3-029</t>
  </si>
  <si>
    <t>Q3-028</t>
  </si>
  <si>
    <t>Q3-027</t>
  </si>
  <si>
    <t>Q3-026</t>
  </si>
  <si>
    <t>Q3-025</t>
  </si>
  <si>
    <t>Q3-024</t>
  </si>
  <si>
    <t>Q3-023</t>
  </si>
  <si>
    <t>Q3-022</t>
  </si>
  <si>
    <t>Q3-021</t>
  </si>
  <si>
    <t>Q3-020</t>
  </si>
  <si>
    <t>Q3-019</t>
  </si>
  <si>
    <t>Q3-018</t>
  </si>
  <si>
    <t>Q3-017</t>
  </si>
  <si>
    <t>Q3-016</t>
  </si>
  <si>
    <t>Q3-015</t>
  </si>
  <si>
    <t>Q3-014</t>
  </si>
  <si>
    <t>Q3-013</t>
  </si>
  <si>
    <t>Q3-012</t>
  </si>
  <si>
    <t>Q3-011</t>
  </si>
  <si>
    <t>Q3-010</t>
  </si>
  <si>
    <t>Q3-009</t>
  </si>
  <si>
    <t>Q3-008</t>
  </si>
  <si>
    <t>Q3-007</t>
  </si>
  <si>
    <t>Q3-006</t>
  </si>
  <si>
    <t>Q3-005</t>
  </si>
  <si>
    <t>Q3-004</t>
  </si>
  <si>
    <t>Q3-003</t>
  </si>
  <si>
    <t>Q3-002</t>
  </si>
  <si>
    <t>Q3-001</t>
  </si>
  <si>
    <t>Q2-030</t>
  </si>
  <si>
    <t>Q2-029</t>
  </si>
  <si>
    <t>Q2-028</t>
  </si>
  <si>
    <t>Q2-027</t>
  </si>
  <si>
    <t>Q2-026</t>
  </si>
  <si>
    <t>Q2-025</t>
  </si>
  <si>
    <t>Q2-024</t>
  </si>
  <si>
    <t>Q2-023</t>
  </si>
  <si>
    <t>Q2-022</t>
  </si>
  <si>
    <t>Q2-021</t>
  </si>
  <si>
    <t>Q2-020</t>
  </si>
  <si>
    <t>Q2-019</t>
  </si>
  <si>
    <t>Q2-018</t>
  </si>
  <si>
    <t>Q2-017</t>
  </si>
  <si>
    <t>Q2-016</t>
  </si>
  <si>
    <t>Q2-015</t>
  </si>
  <si>
    <t>Q2-014</t>
  </si>
  <si>
    <t>Q2-013</t>
  </si>
  <si>
    <t>Q2-012</t>
  </si>
  <si>
    <t>Q2-011</t>
  </si>
  <si>
    <t>Q2-010</t>
  </si>
  <si>
    <t>Q2-009</t>
  </si>
  <si>
    <t>Q2-008</t>
  </si>
  <si>
    <t>Q2-007</t>
  </si>
  <si>
    <t>Q2-006</t>
  </si>
  <si>
    <t>Q2-005</t>
  </si>
  <si>
    <t>Q2-004</t>
  </si>
  <si>
    <t>Q2-003</t>
  </si>
  <si>
    <t>Q2-002</t>
  </si>
  <si>
    <t>Q2-001</t>
  </si>
  <si>
    <t>Category</t>
  </si>
  <si>
    <t>UnitCost</t>
  </si>
  <si>
    <t>Discount</t>
  </si>
  <si>
    <t>Office</t>
  </si>
  <si>
    <t>Electronics</t>
  </si>
  <si>
    <t>Accessories</t>
  </si>
  <si>
    <t>michael.mlambo@example.com</t>
  </si>
  <si>
    <t>Mlambo</t>
  </si>
  <si>
    <t>Michael</t>
  </si>
  <si>
    <t>john.mlambo@example.com</t>
  </si>
  <si>
    <t>John</t>
  </si>
  <si>
    <t>john.smith@example.com</t>
  </si>
  <si>
    <t>Smith</t>
  </si>
  <si>
    <t>lerato.van wyk@example.com</t>
  </si>
  <si>
    <t>Van Wyk</t>
  </si>
  <si>
    <t>Lerato</t>
  </si>
  <si>
    <t>aisha.brown@example.com</t>
  </si>
  <si>
    <t>Brown</t>
  </si>
  <si>
    <t>Aisha</t>
  </si>
  <si>
    <t>lerato.naidoo@example.com</t>
  </si>
  <si>
    <t>Naidoo</t>
  </si>
  <si>
    <t>sipho.van wyk@example.com</t>
  </si>
  <si>
    <t>Sipho</t>
  </si>
  <si>
    <t>thabo.botha@example.com</t>
  </si>
  <si>
    <t>Botha</t>
  </si>
  <si>
    <t>Thabo</t>
  </si>
  <si>
    <t>david.van wyk@example.com</t>
  </si>
  <si>
    <t>David</t>
  </si>
  <si>
    <t>naledi.nguyen@example.com</t>
  </si>
  <si>
    <t>Nguyen</t>
  </si>
  <si>
    <t>Naledi</t>
  </si>
  <si>
    <t>sipho.smith@example.com</t>
  </si>
  <si>
    <t>sipho.nguyen@example.com</t>
  </si>
  <si>
    <t>naledi.van wyk@example.com</t>
  </si>
  <si>
    <t>john.brown@example.com</t>
  </si>
  <si>
    <t>sarah.nguyen@example.com</t>
  </si>
  <si>
    <t>Sarah</t>
  </si>
  <si>
    <t>sipho.johnson@example.com</t>
  </si>
  <si>
    <t>Johnson</t>
  </si>
  <si>
    <t>michael.nguyen@example.com</t>
  </si>
  <si>
    <t>emily.johnson@example.com</t>
  </si>
  <si>
    <t>Emily</t>
  </si>
  <si>
    <t>michael.johnson@example.com</t>
  </si>
  <si>
    <t>naledi.botha@example.com</t>
  </si>
  <si>
    <t>michael.van wyk@example.com</t>
  </si>
  <si>
    <t>naledi.pillay@example.com</t>
  </si>
  <si>
    <t>Pillay</t>
  </si>
  <si>
    <t>Email Domain</t>
  </si>
  <si>
    <t>Last Name</t>
  </si>
  <si>
    <t>First Name</t>
  </si>
  <si>
    <t>Email</t>
  </si>
  <si>
    <t>LastName</t>
  </si>
  <si>
    <t>FirstName</t>
  </si>
  <si>
    <t>ReturnRate</t>
  </si>
  <si>
    <t>DeliveryDays</t>
  </si>
  <si>
    <t>OtherExpenses</t>
  </si>
  <si>
    <t>Salaries</t>
  </si>
  <si>
    <t>Overheads</t>
  </si>
  <si>
    <t>Month</t>
  </si>
  <si>
    <t xml:space="preserve">DeliveryDays </t>
  </si>
  <si>
    <t>ReturnRate </t>
  </si>
  <si>
    <t>Month Helper</t>
  </si>
  <si>
    <t>MonthlyOverhead </t>
  </si>
  <si>
    <t>MonthlySalary </t>
  </si>
  <si>
    <t>MonthlyOther </t>
  </si>
  <si>
    <t>Revenue</t>
  </si>
  <si>
    <t>Discounted Revenue</t>
  </si>
  <si>
    <t>Allocated Other</t>
  </si>
  <si>
    <t>Allocated Salary</t>
  </si>
  <si>
    <t>Allocated Overhead</t>
  </si>
  <si>
    <t>Allocate monthly expenses</t>
  </si>
  <si>
    <t>Profit </t>
  </si>
  <si>
    <t>total revenue per customer</t>
  </si>
  <si>
    <t>Classification</t>
  </si>
  <si>
    <t>Category </t>
  </si>
  <si>
    <t>products per customer</t>
  </si>
  <si>
    <t>Grand Total</t>
  </si>
  <si>
    <t>Sum of Profit </t>
  </si>
  <si>
    <t>Sum of Revenue</t>
  </si>
  <si>
    <t>Low Value</t>
  </si>
  <si>
    <t>Regular</t>
  </si>
  <si>
    <t>Sum of CustomerID</t>
  </si>
  <si>
    <t xml:space="preserve">Sum of DeliveryDays </t>
  </si>
  <si>
    <t>ProfitMargin %</t>
  </si>
  <si>
    <t>Total Revenue</t>
  </si>
  <si>
    <t>Total Profit</t>
  </si>
  <si>
    <t>Top Customer</t>
  </si>
  <si>
    <t>On‑Time Delivery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</si>
</sst>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hh:mm:ss"/>
    <numFmt numFmtId="165" formatCode="dd/mm/yyyy;@"/>
  </numFmts>
  <fonts count="4" x14ac:knownFonts="1">
    <font>
      <sz val="11"/>
      <color theme="1"/>
      <name val="Aptos Narrow"/>
      <family val="2"/>
      <scheme val="minor"/>
    </font>
    <font>
      <b/>
      <sz val="11"/>
      <color theme="1"/>
      <name val="Aptos Narrow"/>
      <family val="2"/>
      <scheme val="minor"/>
    </font>
    <font>
      <sz val="8"/>
      <color rgb="FFF9FAFB"/>
      <name val="Consolas"/>
      <family val="3"/>
    </font>
    <font>
      <sz val="72"/>
      <color theme="1"/>
      <name val="Aptos Narrow"/>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5">
    <xf numFmtId="0" fontId="0" fillId="0" borderId="0" xfId="0"/>
    <xf numFmtId="164" fontId="0" fillId="0" borderId="0" xfId="0" applyNumberFormat="1"/>
    <xf numFmtId="0" fontId="1" fillId="0" borderId="1" xfId="0" applyFont="1" applyBorder="1" applyAlignment="1">
      <alignment horizontal="center" vertical="top"/>
    </xf>
    <xf numFmtId="165" fontId="1" fillId="0" borderId="1" xfId="0" applyNumberFormat="1" applyFont="1" applyBorder="1" applyAlignment="1">
      <alignment horizontal="center" vertical="top"/>
    </xf>
    <xf numFmtId="165" fontId="0" fillId="0" borderId="0" xfId="0" applyNumberFormat="1"/>
    <xf numFmtId="0" fontId="2" fillId="0" borderId="0" xfId="0" applyFont="1"/>
    <xf numFmtId="0" fontId="1" fillId="0" borderId="2" xfId="0" applyFont="1" applyBorder="1" applyAlignment="1">
      <alignment horizontal="center" vertical="top"/>
    </xf>
    <xf numFmtId="0" fontId="1" fillId="0" borderId="1" xfId="0" applyFont="1" applyBorder="1" applyAlignment="1" applyProtection="1">
      <alignment horizontal="center" vertical="top"/>
      <protection locked="0"/>
    </xf>
    <xf numFmtId="0" fontId="0" fillId="0" borderId="0" xfId="0" applyProtection="1">
      <protection locked="0"/>
    </xf>
    <xf numFmtId="0" fontId="0" fillId="0" borderId="0" xfId="0" pivotButton="1"/>
    <xf numFmtId="0" fontId="0" fillId="0" borderId="0" xfId="0" applyAlignment="1">
      <alignment horizontal="left"/>
    </xf>
    <xf numFmtId="0" fontId="0" fillId="0" borderId="0" xfId="0" applyNumberFormat="1"/>
    <xf numFmtId="0" fontId="0" fillId="0" borderId="1" xfId="0" applyBorder="1"/>
    <xf numFmtId="0" fontId="1" fillId="0" borderId="1" xfId="0" applyFont="1" applyBorder="1"/>
    <xf numFmtId="0" fontId="3" fillId="0" borderId="0" xfId="0" applyFont="1" applyAlignment="1">
      <alignment horizontal="center"/>
    </xf>
  </cellXfs>
  <cellStyles count="1">
    <cellStyle name="Normal" xfId="0" builtinId="0"/>
  </cellStyles>
  <dxfs count="9">
    <dxf>
      <font>
        <color rgb="FF9C0006"/>
      </font>
      <fill>
        <patternFill>
          <bgColor rgb="FFFFC7CE"/>
        </patternFill>
      </fill>
    </dxf>
    <dxf>
      <fill>
        <patternFill>
          <bgColor rgb="FFFFFF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5" Type="http://schemas.openxmlformats.org/officeDocument/2006/relationships/worksheet" Target="worksheets/sheet5.xml"/><Relationship Id="rId15" Type="http://schemas.microsoft.com/office/2007/relationships/slicerCache" Target="slicerCaches/slicerCache4.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[Sales_All.xlsx]PivortTables!PivotTable1</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PivortTables!$B$3</c:f>
              <c:strCache>
                <c:ptCount val="1"/>
                <c:pt idx="0">
                  <c:v>Sum of Profit </c:v>
                </c:pt>
              </c:strCache>
            </c:strRef>
          </c:tx>
          <c:spPr>
            <a:solidFill>
              <a:schemeClr val="accent1"/>
            </a:solidFill>
            <a:ln>
              <a:noFill/>
            </a:ln>
            <a:effectLst/>
          </c:spPr>
          <c:invertIfNegative val="0"/>
          <c:cat>
            <c:strRef>
              <c:f>PivortTables!$A$4:$A$8</c:f>
              <c:strCache>
                <c:ptCount val="4"/>
                <c:pt idx="0">
                  <c:v>East</c:v>
                </c:pt>
                <c:pt idx="1">
                  <c:v>North</c:v>
                </c:pt>
                <c:pt idx="2">
                  <c:v>South</c:v>
                </c:pt>
                <c:pt idx="3">
                  <c:v>West</c:v>
                </c:pt>
              </c:strCache>
            </c:strRef>
          </c:cat>
          <c:val>
            <c:numRef>
              <c:f>PivortTables!$B$4:$B$8</c:f>
              <c:numCache>
                <c:formatCode>General</c:formatCode>
                <c:ptCount val="4"/>
                <c:pt idx="0">
                  <c:v>-216983.56075036083</c:v>
                </c:pt>
                <c:pt idx="1">
                  <c:v>-209380.31774891779</c:v>
                </c:pt>
                <c:pt idx="2">
                  <c:v>-221336.08455988459</c:v>
                </c:pt>
                <c:pt idx="3">
                  <c:v>-227022.03694083702</c:v>
                </c:pt>
              </c:numCache>
            </c:numRef>
          </c:val>
          <c:extLst>
            <c:ext xmlns:c16="http://schemas.microsoft.com/office/drawing/2014/chart" uri="{C3380CC4-5D6E-409C-BE32-E72D297353CC}">
              <c16:uniqueId val="{00000000-8CCC-45FA-A590-0F324880DF11}"/>
            </c:ext>
          </c:extLst>
        </c:ser>
        <c:ser>
          <c:idx val="1"/>
          <c:order val="1"/>
          <c:tx>
            <c:strRef>
              <c:f>PivortTables!$C$3</c:f>
              <c:strCache>
                <c:ptCount val="1"/>
                <c:pt idx="0">
                  <c:v>Sum of Revenue</c:v>
                </c:pt>
              </c:strCache>
            </c:strRef>
          </c:tx>
          <c:spPr>
            <a:solidFill>
              <a:schemeClr val="accent2"/>
            </a:solidFill>
            <a:ln>
              <a:noFill/>
            </a:ln>
            <a:effectLst/>
          </c:spPr>
          <c:invertIfNegative val="0"/>
          <c:cat>
            <c:strRef>
              <c:f>PivortTables!$A$4:$A$8</c:f>
              <c:strCache>
                <c:ptCount val="4"/>
                <c:pt idx="0">
                  <c:v>East</c:v>
                </c:pt>
                <c:pt idx="1">
                  <c:v>North</c:v>
                </c:pt>
                <c:pt idx="2">
                  <c:v>South</c:v>
                </c:pt>
                <c:pt idx="3">
                  <c:v>West</c:v>
                </c:pt>
              </c:strCache>
            </c:strRef>
          </c:cat>
          <c:val>
            <c:numRef>
              <c:f>PivortTables!$C$4:$C$8</c:f>
              <c:numCache>
                <c:formatCode>General</c:formatCode>
                <c:ptCount val="4"/>
                <c:pt idx="0">
                  <c:v>104142</c:v>
                </c:pt>
                <c:pt idx="1">
                  <c:v>87013</c:v>
                </c:pt>
                <c:pt idx="2">
                  <c:v>124308</c:v>
                </c:pt>
                <c:pt idx="3">
                  <c:v>125799</c:v>
                </c:pt>
              </c:numCache>
            </c:numRef>
          </c:val>
          <c:extLst>
            <c:ext xmlns:c16="http://schemas.microsoft.com/office/drawing/2014/chart" uri="{C3380CC4-5D6E-409C-BE32-E72D297353CC}">
              <c16:uniqueId val="{00000001-8CCC-45FA-A590-0F324880DF11}"/>
            </c:ext>
          </c:extLst>
        </c:ser>
        <c:dLbls>
          <c:showLegendKey val="0"/>
          <c:showVal val="0"/>
          <c:showCatName val="0"/>
          <c:showSerName val="0"/>
          <c:showPercent val="0"/>
          <c:showBubbleSize val="0"/>
        </c:dLbls>
        <c:gapWidth val="219"/>
        <c:overlap val="-27"/>
        <c:axId val="560980511"/>
        <c:axId val="470854063"/>
      </c:barChart>
      <c:lineChart>
        <c:grouping val="standard"/>
        <c:varyColors val="0"/>
        <c:ser>
          <c:idx val="2"/>
          <c:order val="2"/>
          <c:tx>
            <c:strRef>
              <c:f>PivortTables!$D$3</c:f>
              <c:strCache>
                <c:ptCount val="1"/>
                <c:pt idx="0">
                  <c:v>ProfitMargin %</c:v>
                </c:pt>
              </c:strCache>
            </c:strRef>
          </c:tx>
          <c:spPr>
            <a:ln w="28575" cap="rnd">
              <a:solidFill>
                <a:schemeClr val="accent3"/>
              </a:solidFill>
              <a:round/>
            </a:ln>
            <a:effectLst/>
          </c:spPr>
          <c:marker>
            <c:symbol val="none"/>
          </c:marker>
          <c:cat>
            <c:strRef>
              <c:f>PivortTables!$A$4:$A$8</c:f>
              <c:strCache>
                <c:ptCount val="4"/>
                <c:pt idx="0">
                  <c:v>East</c:v>
                </c:pt>
                <c:pt idx="1">
                  <c:v>North</c:v>
                </c:pt>
                <c:pt idx="2">
                  <c:v>South</c:v>
                </c:pt>
                <c:pt idx="3">
                  <c:v>West</c:v>
                </c:pt>
              </c:strCache>
            </c:strRef>
          </c:cat>
          <c:val>
            <c:numRef>
              <c:f>PivortTables!$D$4:$D$8</c:f>
              <c:numCache>
                <c:formatCode>General</c:formatCode>
                <c:ptCount val="4"/>
                <c:pt idx="0">
                  <c:v>-2.0835355644251199</c:v>
                </c:pt>
                <c:pt idx="1">
                  <c:v>-2.4063107552770022</c:v>
                </c:pt>
                <c:pt idx="2">
                  <c:v>-1.780545777905562</c:v>
                </c:pt>
                <c:pt idx="3">
                  <c:v>-1.8046410300625364</c:v>
                </c:pt>
              </c:numCache>
            </c:numRef>
          </c:val>
          <c:smooth val="0"/>
          <c:extLst>
            <c:ext xmlns:c16="http://schemas.microsoft.com/office/drawing/2014/chart" uri="{C3380CC4-5D6E-409C-BE32-E72D297353CC}">
              <c16:uniqueId val="{00000002-8CCC-45FA-A590-0F324880DF11}"/>
            </c:ext>
          </c:extLst>
        </c:ser>
        <c:dLbls>
          <c:showLegendKey val="0"/>
          <c:showVal val="0"/>
          <c:showCatName val="0"/>
          <c:showSerName val="0"/>
          <c:showPercent val="0"/>
          <c:showBubbleSize val="0"/>
        </c:dLbls>
        <c:marker val="1"/>
        <c:smooth val="0"/>
        <c:axId val="470552271"/>
        <c:axId val="470856463"/>
      </c:lineChart>
      <c:catAx>
        <c:axId val="5609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54063"/>
        <c:crosses val="autoZero"/>
        <c:auto val="1"/>
        <c:lblAlgn val="ctr"/>
        <c:lblOffset val="100"/>
        <c:noMultiLvlLbl val="0"/>
      </c:catAx>
      <c:valAx>
        <c:axId val="4708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80511"/>
        <c:crosses val="autoZero"/>
        <c:crossBetween val="between"/>
      </c:valAx>
      <c:valAx>
        <c:axId val="47085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52271"/>
        <c:crosses val="max"/>
        <c:crossBetween val="between"/>
      </c:valAx>
      <c:catAx>
        <c:axId val="470552271"/>
        <c:scaling>
          <c:orientation val="minMax"/>
        </c:scaling>
        <c:delete val="1"/>
        <c:axPos val="b"/>
        <c:numFmt formatCode="General" sourceLinked="1"/>
        <c:majorTickMark val="out"/>
        <c:minorTickMark val="none"/>
        <c:tickLblPos val="nextTo"/>
        <c:crossAx val="47085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Overheads</c:v>
          </c:tx>
          <c:spPr>
            <a:solidFill>
              <a:schemeClr val="accent1"/>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25640</c:v>
              </c:pt>
              <c:pt idx="1">
                <c:v>43320</c:v>
              </c:pt>
              <c:pt idx="2">
                <c:v>34147</c:v>
              </c:pt>
              <c:pt idx="3">
                <c:v>44423</c:v>
              </c:pt>
              <c:pt idx="4">
                <c:v>32119</c:v>
              </c:pt>
              <c:pt idx="5">
                <c:v>20079</c:v>
              </c:pt>
              <c:pt idx="6">
                <c:v>36304</c:v>
              </c:pt>
              <c:pt idx="7">
                <c:v>36734</c:v>
              </c:pt>
              <c:pt idx="8">
                <c:v>34260</c:v>
              </c:pt>
            </c:numLit>
          </c:val>
          <c:extLst>
            <c:ext xmlns:c16="http://schemas.microsoft.com/office/drawing/2014/chart" uri="{C3380CC4-5D6E-409C-BE32-E72D297353CC}">
              <c16:uniqueId val="{00000000-6CAC-43BE-9B2C-B44CDCDBBC99}"/>
            </c:ext>
          </c:extLst>
        </c:ser>
        <c:ser>
          <c:idx val="1"/>
          <c:order val="1"/>
          <c:tx>
            <c:v>Sum of Salaries</c:v>
          </c:tx>
          <c:spPr>
            <a:solidFill>
              <a:schemeClr val="accent2"/>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60082</c:v>
              </c:pt>
              <c:pt idx="1">
                <c:v>70533</c:v>
              </c:pt>
              <c:pt idx="2">
                <c:v>63890</c:v>
              </c:pt>
              <c:pt idx="3">
                <c:v>90674</c:v>
              </c:pt>
              <c:pt idx="4">
                <c:v>55646</c:v>
              </c:pt>
              <c:pt idx="5">
                <c:v>99954</c:v>
              </c:pt>
              <c:pt idx="6">
                <c:v>63297</c:v>
              </c:pt>
              <c:pt idx="7">
                <c:v>93760</c:v>
              </c:pt>
              <c:pt idx="8">
                <c:v>70760</c:v>
              </c:pt>
            </c:numLit>
          </c:val>
          <c:extLst>
            <c:ext xmlns:c16="http://schemas.microsoft.com/office/drawing/2014/chart" uri="{C3380CC4-5D6E-409C-BE32-E72D297353CC}">
              <c16:uniqueId val="{00000001-6CAC-43BE-9B2C-B44CDCDBBC99}"/>
            </c:ext>
          </c:extLst>
        </c:ser>
        <c:ser>
          <c:idx val="2"/>
          <c:order val="2"/>
          <c:tx>
            <c:v>Sum of OtherExpenses</c:v>
          </c:tx>
          <c:spPr>
            <a:solidFill>
              <a:schemeClr val="accent3"/>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21492</c:v>
              </c:pt>
              <c:pt idx="1">
                <c:v>27724</c:v>
              </c:pt>
              <c:pt idx="2">
                <c:v>17738</c:v>
              </c:pt>
              <c:pt idx="3">
                <c:v>21152</c:v>
              </c:pt>
              <c:pt idx="4">
                <c:v>19723</c:v>
              </c:pt>
              <c:pt idx="5">
                <c:v>15769</c:v>
              </c:pt>
              <c:pt idx="6">
                <c:v>25453</c:v>
              </c:pt>
              <c:pt idx="7">
                <c:v>16230</c:v>
              </c:pt>
              <c:pt idx="8">
                <c:v>28818</c:v>
              </c:pt>
            </c:numLit>
          </c:val>
          <c:extLst>
            <c:ext xmlns:c16="http://schemas.microsoft.com/office/drawing/2014/chart" uri="{C3380CC4-5D6E-409C-BE32-E72D297353CC}">
              <c16:uniqueId val="{00000002-6CAC-43BE-9B2C-B44CDCDBBC99}"/>
            </c:ext>
          </c:extLst>
        </c:ser>
        <c:dLbls>
          <c:showLegendKey val="0"/>
          <c:showVal val="0"/>
          <c:showCatName val="0"/>
          <c:showSerName val="0"/>
          <c:showPercent val="0"/>
          <c:showBubbleSize val="0"/>
        </c:dLbls>
        <c:gapWidth val="150"/>
        <c:overlap val="100"/>
        <c:axId val="572401727"/>
        <c:axId val="470898703"/>
      </c:barChart>
      <c:catAx>
        <c:axId val="5724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98703"/>
        <c:crosses val="autoZero"/>
        <c:auto val="1"/>
        <c:lblAlgn val="ctr"/>
        <c:lblOffset val="100"/>
        <c:noMultiLvlLbl val="0"/>
      </c:catAx>
      <c:valAx>
        <c:axId val="47089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0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104142</c:v>
              </c:pt>
              <c:pt idx="1">
                <c:v>87013</c:v>
              </c:pt>
              <c:pt idx="2">
                <c:v>124308</c:v>
              </c:pt>
              <c:pt idx="3">
                <c:v>125799</c:v>
              </c:pt>
              <c:pt idx="4">
                <c:v>0</c:v>
              </c:pt>
            </c:numLit>
          </c:val>
          <c:extLst>
            <c:ext xmlns:c16="http://schemas.microsoft.com/office/drawing/2014/chart" uri="{C3380CC4-5D6E-409C-BE32-E72D297353CC}">
              <c16:uniqueId val="{00000000-2EB2-4FF9-96D0-1A81CBF2E9AE}"/>
            </c:ext>
          </c:extLst>
        </c:ser>
        <c:dLbls>
          <c:showLegendKey val="0"/>
          <c:showVal val="0"/>
          <c:showCatName val="0"/>
          <c:showSerName val="0"/>
          <c:showPercent val="0"/>
          <c:showBubbleSize val="0"/>
        </c:dLbls>
        <c:gapWidth val="219"/>
        <c:overlap val="-27"/>
        <c:axId val="584035391"/>
        <c:axId val="470889103"/>
      </c:barChart>
      <c:catAx>
        <c:axId val="5840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89103"/>
        <c:crosses val="autoZero"/>
        <c:auto val="1"/>
        <c:lblAlgn val="ctr"/>
        <c:lblOffset val="100"/>
        <c:noMultiLvlLbl val="0"/>
      </c:catAx>
      <c:valAx>
        <c:axId val="47088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[Sales_All.xlsx]PivortTables!PivotTable1</c:name>
    <c:fmtId val="1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PivortTables!$B$3</c:f>
              <c:strCache>
                <c:ptCount val="1"/>
                <c:pt idx="0">
                  <c:v>Sum of Profit </c:v>
                </c:pt>
              </c:strCache>
            </c:strRef>
          </c:tx>
          <c:spPr>
            <a:solidFill>
              <a:schemeClr val="accent1"/>
            </a:solidFill>
            <a:ln>
              <a:noFill/>
            </a:ln>
            <a:effectLst/>
          </c:spPr>
          <c:invertIfNegative val="0"/>
          <c:cat>
            <c:strRef>
              <c:f>PivortTables!$A$4:$A$8</c:f>
              <c:strCache>
                <c:ptCount val="4"/>
                <c:pt idx="0">
                  <c:v>East</c:v>
                </c:pt>
                <c:pt idx="1">
                  <c:v>North</c:v>
                </c:pt>
                <c:pt idx="2">
                  <c:v>South</c:v>
                </c:pt>
                <c:pt idx="3">
                  <c:v>West</c:v>
                </c:pt>
              </c:strCache>
            </c:strRef>
          </c:cat>
          <c:val>
            <c:numRef>
              <c:f>PivortTables!$B$4:$B$8</c:f>
              <c:numCache>
                <c:formatCode>General</c:formatCode>
                <c:ptCount val="4"/>
                <c:pt idx="0">
                  <c:v>-216983.56075036083</c:v>
                </c:pt>
                <c:pt idx="1">
                  <c:v>-209380.31774891779</c:v>
                </c:pt>
                <c:pt idx="2">
                  <c:v>-221336.08455988459</c:v>
                </c:pt>
                <c:pt idx="3">
                  <c:v>-227022.03694083702</c:v>
                </c:pt>
              </c:numCache>
            </c:numRef>
          </c:val>
          <c:extLst>
            <c:ext xmlns:c16="http://schemas.microsoft.com/office/drawing/2014/chart" uri="{C3380CC4-5D6E-409C-BE32-E72D297353CC}">
              <c16:uniqueId val="{00000000-46E8-4E28-9AF6-9B9271803A91}"/>
            </c:ext>
          </c:extLst>
        </c:ser>
        <c:ser>
          <c:idx val="1"/>
          <c:order val="1"/>
          <c:tx>
            <c:strRef>
              <c:f>PivortTables!$C$3</c:f>
              <c:strCache>
                <c:ptCount val="1"/>
                <c:pt idx="0">
                  <c:v>Sum of Revenue</c:v>
                </c:pt>
              </c:strCache>
            </c:strRef>
          </c:tx>
          <c:spPr>
            <a:solidFill>
              <a:schemeClr val="accent2"/>
            </a:solidFill>
            <a:ln>
              <a:noFill/>
            </a:ln>
            <a:effectLst/>
          </c:spPr>
          <c:invertIfNegative val="0"/>
          <c:cat>
            <c:strRef>
              <c:f>PivortTables!$A$4:$A$8</c:f>
              <c:strCache>
                <c:ptCount val="4"/>
                <c:pt idx="0">
                  <c:v>East</c:v>
                </c:pt>
                <c:pt idx="1">
                  <c:v>North</c:v>
                </c:pt>
                <c:pt idx="2">
                  <c:v>South</c:v>
                </c:pt>
                <c:pt idx="3">
                  <c:v>West</c:v>
                </c:pt>
              </c:strCache>
            </c:strRef>
          </c:cat>
          <c:val>
            <c:numRef>
              <c:f>PivortTables!$C$4:$C$8</c:f>
              <c:numCache>
                <c:formatCode>General</c:formatCode>
                <c:ptCount val="4"/>
                <c:pt idx="0">
                  <c:v>104142</c:v>
                </c:pt>
                <c:pt idx="1">
                  <c:v>87013</c:v>
                </c:pt>
                <c:pt idx="2">
                  <c:v>124308</c:v>
                </c:pt>
                <c:pt idx="3">
                  <c:v>125799</c:v>
                </c:pt>
              </c:numCache>
            </c:numRef>
          </c:val>
          <c:extLst>
            <c:ext xmlns:c16="http://schemas.microsoft.com/office/drawing/2014/chart" uri="{C3380CC4-5D6E-409C-BE32-E72D297353CC}">
              <c16:uniqueId val="{00000001-46E8-4E28-9AF6-9B9271803A91}"/>
            </c:ext>
          </c:extLst>
        </c:ser>
        <c:dLbls>
          <c:showLegendKey val="0"/>
          <c:showVal val="0"/>
          <c:showCatName val="0"/>
          <c:showSerName val="0"/>
          <c:showPercent val="0"/>
          <c:showBubbleSize val="0"/>
        </c:dLbls>
        <c:gapWidth val="219"/>
        <c:overlap val="-27"/>
        <c:axId val="560980511"/>
        <c:axId val="470854063"/>
      </c:barChart>
      <c:lineChart>
        <c:grouping val="standard"/>
        <c:varyColors val="0"/>
        <c:ser>
          <c:idx val="2"/>
          <c:order val="2"/>
          <c:tx>
            <c:strRef>
              <c:f>PivortTables!$D$3</c:f>
              <c:strCache>
                <c:ptCount val="1"/>
                <c:pt idx="0">
                  <c:v>ProfitMargin %</c:v>
                </c:pt>
              </c:strCache>
            </c:strRef>
          </c:tx>
          <c:spPr>
            <a:ln w="28575" cap="rnd">
              <a:solidFill>
                <a:schemeClr val="accent3"/>
              </a:solidFill>
              <a:round/>
            </a:ln>
            <a:effectLst/>
          </c:spPr>
          <c:marker>
            <c:symbol val="none"/>
          </c:marker>
          <c:cat>
            <c:strRef>
              <c:f>PivortTables!$A$4:$A$8</c:f>
              <c:strCache>
                <c:ptCount val="4"/>
                <c:pt idx="0">
                  <c:v>East</c:v>
                </c:pt>
                <c:pt idx="1">
                  <c:v>North</c:v>
                </c:pt>
                <c:pt idx="2">
                  <c:v>South</c:v>
                </c:pt>
                <c:pt idx="3">
                  <c:v>West</c:v>
                </c:pt>
              </c:strCache>
            </c:strRef>
          </c:cat>
          <c:val>
            <c:numRef>
              <c:f>PivortTables!$D$4:$D$8</c:f>
              <c:numCache>
                <c:formatCode>General</c:formatCode>
                <c:ptCount val="4"/>
                <c:pt idx="0">
                  <c:v>-2.0835355644251199</c:v>
                </c:pt>
                <c:pt idx="1">
                  <c:v>-2.4063107552770022</c:v>
                </c:pt>
                <c:pt idx="2">
                  <c:v>-1.780545777905562</c:v>
                </c:pt>
                <c:pt idx="3">
                  <c:v>-1.8046410300625364</c:v>
                </c:pt>
              </c:numCache>
            </c:numRef>
          </c:val>
          <c:smooth val="0"/>
          <c:extLst>
            <c:ext xmlns:c16="http://schemas.microsoft.com/office/drawing/2014/chart" uri="{C3380CC4-5D6E-409C-BE32-E72D297353CC}">
              <c16:uniqueId val="{00000002-46E8-4E28-9AF6-9B9271803A91}"/>
            </c:ext>
          </c:extLst>
        </c:ser>
        <c:dLbls>
          <c:showLegendKey val="0"/>
          <c:showVal val="0"/>
          <c:showCatName val="0"/>
          <c:showSerName val="0"/>
          <c:showPercent val="0"/>
          <c:showBubbleSize val="0"/>
        </c:dLbls>
        <c:marker val="1"/>
        <c:smooth val="0"/>
        <c:axId val="470552271"/>
        <c:axId val="470856463"/>
      </c:lineChart>
      <c:catAx>
        <c:axId val="5609805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54063"/>
        <c:crosses val="autoZero"/>
        <c:auto val="1"/>
        <c:lblAlgn val="ctr"/>
        <c:lblOffset val="100"/>
        <c:noMultiLvlLbl val="0"/>
      </c:catAx>
      <c:valAx>
        <c:axId val="470854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0980511"/>
        <c:crosses val="autoZero"/>
        <c:crossBetween val="between"/>
      </c:valAx>
      <c:valAx>
        <c:axId val="470856463"/>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552271"/>
        <c:crosses val="max"/>
        <c:crossBetween val="between"/>
      </c:valAx>
      <c:catAx>
        <c:axId val="470552271"/>
        <c:scaling>
          <c:orientation val="minMax"/>
        </c:scaling>
        <c:delete val="1"/>
        <c:axPos val="b"/>
        <c:numFmt formatCode="General" sourceLinked="1"/>
        <c:majorTickMark val="out"/>
        <c:minorTickMark val="none"/>
        <c:tickLblPos val="nextTo"/>
        <c:crossAx val="470856463"/>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v>Sum of Overheads</c:v>
          </c:tx>
          <c:spPr>
            <a:solidFill>
              <a:schemeClr val="accent1"/>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25640</c:v>
              </c:pt>
              <c:pt idx="1">
                <c:v>43320</c:v>
              </c:pt>
              <c:pt idx="2">
                <c:v>34147</c:v>
              </c:pt>
              <c:pt idx="3">
                <c:v>44423</c:v>
              </c:pt>
              <c:pt idx="4">
                <c:v>32119</c:v>
              </c:pt>
              <c:pt idx="5">
                <c:v>20079</c:v>
              </c:pt>
              <c:pt idx="6">
                <c:v>36304</c:v>
              </c:pt>
              <c:pt idx="7">
                <c:v>36734</c:v>
              </c:pt>
              <c:pt idx="8">
                <c:v>34260</c:v>
              </c:pt>
            </c:numLit>
          </c:val>
          <c:extLst>
            <c:ext xmlns:c16="http://schemas.microsoft.com/office/drawing/2014/chart" uri="{C3380CC4-5D6E-409C-BE32-E72D297353CC}">
              <c16:uniqueId val="{00000000-B2E9-4915-A312-BD54A8F8746B}"/>
            </c:ext>
          </c:extLst>
        </c:ser>
        <c:ser>
          <c:idx val="1"/>
          <c:order val="1"/>
          <c:tx>
            <c:v>Sum of Salaries</c:v>
          </c:tx>
          <c:spPr>
            <a:solidFill>
              <a:schemeClr val="accent2"/>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60082</c:v>
              </c:pt>
              <c:pt idx="1">
                <c:v>70533</c:v>
              </c:pt>
              <c:pt idx="2">
                <c:v>63890</c:v>
              </c:pt>
              <c:pt idx="3">
                <c:v>90674</c:v>
              </c:pt>
              <c:pt idx="4">
                <c:v>55646</c:v>
              </c:pt>
              <c:pt idx="5">
                <c:v>99954</c:v>
              </c:pt>
              <c:pt idx="6">
                <c:v>63297</c:v>
              </c:pt>
              <c:pt idx="7">
                <c:v>93760</c:v>
              </c:pt>
              <c:pt idx="8">
                <c:v>70760</c:v>
              </c:pt>
            </c:numLit>
          </c:val>
          <c:extLst>
            <c:ext xmlns:c16="http://schemas.microsoft.com/office/drawing/2014/chart" uri="{C3380CC4-5D6E-409C-BE32-E72D297353CC}">
              <c16:uniqueId val="{00000001-B2E9-4915-A312-BD54A8F8746B}"/>
            </c:ext>
          </c:extLst>
        </c:ser>
        <c:ser>
          <c:idx val="2"/>
          <c:order val="2"/>
          <c:tx>
            <c:v>Sum of OtherExpenses</c:v>
          </c:tx>
          <c:spPr>
            <a:solidFill>
              <a:schemeClr val="accent3"/>
            </a:solidFill>
            <a:ln>
              <a:noFill/>
            </a:ln>
            <a:effectLst/>
          </c:spPr>
          <c:invertIfNegative val="0"/>
          <c:cat>
            <c:strLit>
              <c:ptCount val="9"/>
              <c:pt idx="0">
                <c:v>Jan</c:v>
              </c:pt>
              <c:pt idx="1">
                <c:v>Feb</c:v>
              </c:pt>
              <c:pt idx="2">
                <c:v>Mar</c:v>
              </c:pt>
              <c:pt idx="3">
                <c:v>Apr</c:v>
              </c:pt>
              <c:pt idx="4">
                <c:v>May</c:v>
              </c:pt>
              <c:pt idx="5">
                <c:v>Jun</c:v>
              </c:pt>
              <c:pt idx="6">
                <c:v>Jul</c:v>
              </c:pt>
              <c:pt idx="7">
                <c:v>Aug</c:v>
              </c:pt>
              <c:pt idx="8">
                <c:v>Sept</c:v>
              </c:pt>
            </c:strLit>
          </c:cat>
          <c:val>
            <c:numLit>
              <c:formatCode>General</c:formatCode>
              <c:ptCount val="9"/>
              <c:pt idx="0">
                <c:v>21492</c:v>
              </c:pt>
              <c:pt idx="1">
                <c:v>27724</c:v>
              </c:pt>
              <c:pt idx="2">
                <c:v>17738</c:v>
              </c:pt>
              <c:pt idx="3">
                <c:v>21152</c:v>
              </c:pt>
              <c:pt idx="4">
                <c:v>19723</c:v>
              </c:pt>
              <c:pt idx="5">
                <c:v>15769</c:v>
              </c:pt>
              <c:pt idx="6">
                <c:v>25453</c:v>
              </c:pt>
              <c:pt idx="7">
                <c:v>16230</c:v>
              </c:pt>
              <c:pt idx="8">
                <c:v>28818</c:v>
              </c:pt>
            </c:numLit>
          </c:val>
          <c:extLst>
            <c:ext xmlns:c16="http://schemas.microsoft.com/office/drawing/2014/chart" uri="{C3380CC4-5D6E-409C-BE32-E72D297353CC}">
              <c16:uniqueId val="{00000002-B2E9-4915-A312-BD54A8F8746B}"/>
            </c:ext>
          </c:extLst>
        </c:ser>
        <c:dLbls>
          <c:showLegendKey val="0"/>
          <c:showVal val="0"/>
          <c:showCatName val="0"/>
          <c:showSerName val="0"/>
          <c:showPercent val="0"/>
          <c:showBubbleSize val="0"/>
        </c:dLbls>
        <c:gapWidth val="150"/>
        <c:overlap val="100"/>
        <c:axId val="572401727"/>
        <c:axId val="470898703"/>
      </c:barChart>
      <c:catAx>
        <c:axId val="5724017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98703"/>
        <c:crosses val="autoZero"/>
        <c:auto val="1"/>
        <c:lblAlgn val="ctr"/>
        <c:lblOffset val="100"/>
        <c:noMultiLvlLbl val="0"/>
      </c:catAx>
      <c:valAx>
        <c:axId val="4708987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240172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Region vs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noFill/>
            </a:ln>
            <a:effectLst/>
          </c:spPr>
          <c:invertIfNegative val="0"/>
          <c:cat>
            <c:strLit>
              <c:ptCount val="5"/>
              <c:pt idx="0">
                <c:v>East</c:v>
              </c:pt>
              <c:pt idx="1">
                <c:v>North</c:v>
              </c:pt>
              <c:pt idx="2">
                <c:v>South</c:v>
              </c:pt>
              <c:pt idx="3">
                <c:v>West</c:v>
              </c:pt>
              <c:pt idx="4">
                <c:v>(blank)</c:v>
              </c:pt>
            </c:strLit>
          </c:cat>
          <c:val>
            <c:numLit>
              <c:formatCode>General</c:formatCode>
              <c:ptCount val="5"/>
              <c:pt idx="0">
                <c:v>104142</c:v>
              </c:pt>
              <c:pt idx="1">
                <c:v>87013</c:v>
              </c:pt>
              <c:pt idx="2">
                <c:v>124308</c:v>
              </c:pt>
              <c:pt idx="3">
                <c:v>125799</c:v>
              </c:pt>
              <c:pt idx="4">
                <c:v>0</c:v>
              </c:pt>
            </c:numLit>
          </c:val>
          <c:extLst>
            <c:ext xmlns:c16="http://schemas.microsoft.com/office/drawing/2014/chart" uri="{C3380CC4-5D6E-409C-BE32-E72D297353CC}">
              <c16:uniqueId val="{00000000-26DE-4368-BAD6-C3BD0C33BFD9}"/>
            </c:ext>
          </c:extLst>
        </c:ser>
        <c:dLbls>
          <c:showLegendKey val="0"/>
          <c:showVal val="0"/>
          <c:showCatName val="0"/>
          <c:showSerName val="0"/>
          <c:showPercent val="0"/>
          <c:showBubbleSize val="0"/>
        </c:dLbls>
        <c:gapWidth val="219"/>
        <c:overlap val="-27"/>
        <c:axId val="584035391"/>
        <c:axId val="470889103"/>
      </c:barChart>
      <c:catAx>
        <c:axId val="5840353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0889103"/>
        <c:crosses val="autoZero"/>
        <c:auto val="1"/>
        <c:lblAlgn val="ctr"/>
        <c:lblOffset val="100"/>
        <c:noMultiLvlLbl val="0"/>
      </c:catAx>
      <c:valAx>
        <c:axId val="47088910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40353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val">
        <cx:f>_xlchart.v1.2</cx:f>
      </cx:numDim>
    </cx:data>
  </cx:chartData>
  <cx:chart>
    <cx:title pos="t" align="ctr" overlay="0">
      <cx:tx>
        <cx:rich>
          <a:bodyPr spcFirstLastPara="1" vertOverflow="ellipsis" horzOverflow="overflow" wrap="square" lIns="0" tIns="0" rIns="0" bIns="0" anchor="ctr" anchorCtr="1"/>
          <a:lstStyle/>
          <a:p>
            <a:pPr algn="ctr" rtl="0">
              <a:defRPr/>
            </a:pPr>
            <a:r>
              <a:rPr lang="en-ZA"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Product Vs Revenue</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4705-4948-A4F8-0807C7801689}">
          <cx:tx>
            <cx:txData>
              <cx:f>_xlchart.v1.1</cx:f>
              <cx:v>Revenue</cx:v>
            </cx:txData>
          </cx:tx>
          <cx:dataId val="0"/>
          <cx:layoutPr>
            <cx:aggregation/>
          </cx:layoutPr>
          <cx:axisId val="1"/>
        </cx:series>
        <cx:series layoutId="paretoLine" ownerIdx="0" uniqueId="{FD6E5B7B-52B8-49C6-B6D4-BC3D23E0148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_xlchart.v1.3</cx:f>
      </cx:strDim>
      <cx:numDim type="val">
        <cx:f>_xlchart.v1.5</cx:f>
      </cx:numDim>
    </cx:data>
  </cx:chartData>
  <cx:chart>
    <cx:title pos="t" align="ctr" overlay="0">
      <cx:tx>
        <cx:rich>
          <a:bodyPr spcFirstLastPara="1" vertOverflow="ellipsis" horzOverflow="overflow" wrap="square" lIns="0" tIns="0" rIns="0" bIns="0" anchor="ctr" anchorCtr="1"/>
          <a:lstStyle/>
          <a:p>
            <a:pPr algn="ctr" rtl="0">
              <a:defRPr/>
            </a:pPr>
            <a:r>
              <a:rPr lang="en-ZA" sz="1400" b="0" i="0" u="none" strike="noStrike" baseline="0">
                <a:solidFill>
                  <a:sysClr val="windowText" lastClr="000000">
                    <a:lumMod val="65000"/>
                    <a:lumOff val="35000"/>
                  </a:sysClr>
                </a:solidFill>
                <a:effectLst/>
                <a:latin typeface="Aptos Narrow" panose="02110004020202020204"/>
                <a:ea typeface="Calibri" panose="020F0502020204030204" pitchFamily="34" charset="0"/>
                <a:cs typeface="Calibri" panose="020F0502020204030204" pitchFamily="34" charset="0"/>
              </a:rPr>
              <a:t>Product Vs Revenue</a:t>
            </a:r>
            <a:endParaRPr lang="en-US" sz="1400" b="0" i="0" u="none" strike="noStrike" baseline="0">
              <a:solidFill>
                <a:sysClr val="windowText" lastClr="000000">
                  <a:lumMod val="65000"/>
                  <a:lumOff val="35000"/>
                </a:sysClr>
              </a:solidFill>
              <a:latin typeface="Aptos Narrow" panose="02110004020202020204"/>
            </a:endParaRPr>
          </a:p>
        </cx:rich>
      </cx:tx>
    </cx:title>
    <cx:plotArea>
      <cx:plotAreaRegion>
        <cx:series layoutId="clusteredColumn" uniqueId="{00000000-4705-4948-A4F8-0807C7801689}">
          <cx:tx>
            <cx:txData>
              <cx:f>_xlchart.v1.4</cx:f>
              <cx:v>Revenue</cx:v>
            </cx:txData>
          </cx:tx>
          <cx:dataId val="0"/>
          <cx:layoutPr>
            <cx:aggregation/>
          </cx:layoutPr>
          <cx:axisId val="1"/>
        </cx:series>
        <cx:series layoutId="paretoLine" ownerIdx="0" uniqueId="{FD6E5B7B-52B8-49C6-B6D4-BC3D23E0148E}">
          <cx:axisId val="2"/>
        </cx:series>
      </cx:plotAreaRegion>
      <cx:axis id="0">
        <cx:catScaling gapWidth="0"/>
        <cx:tickLabels/>
      </cx:axis>
      <cx:axis id="1">
        <cx:valScaling/>
        <cx:majorGridlines/>
        <cx:tickLabels/>
      </cx:axis>
      <cx:axis id="2">
        <cx:valScaling max="1" min="0"/>
        <cx:units unit="percentage"/>
        <cx:tickLabels/>
      </cx:axis>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2.xml"/><Relationship Id="rId2" Type="http://schemas.microsoft.com/office/2014/relationships/chartEx" Target="../charts/chartEx1.xml"/><Relationship Id="rId1" Type="http://schemas.openxmlformats.org/officeDocument/2006/relationships/chart" Target="../charts/chart1.xml"/><Relationship Id="rId4"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microsoft.com/office/2014/relationships/chartEx" Target="../charts/chartEx2.xml"/><Relationship Id="rId1" Type="http://schemas.openxmlformats.org/officeDocument/2006/relationships/chart" Target="../charts/chart4.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editAs="oneCell">
    <xdr:from>
      <xdr:col>2</xdr:col>
      <xdr:colOff>678180</xdr:colOff>
      <xdr:row>9</xdr:row>
      <xdr:rowOff>7621</xdr:rowOff>
    </xdr:from>
    <xdr:to>
      <xdr:col>4</xdr:col>
      <xdr:colOff>640080</xdr:colOff>
      <xdr:row>17</xdr:row>
      <xdr:rowOff>83821</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63E8DDA9-8F77-DEBE-7A33-04E082691D31}"/>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2788920" y="1653541"/>
              <a:ext cx="1828800" cy="153924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7620</xdr:colOff>
      <xdr:row>2</xdr:row>
      <xdr:rowOff>45720</xdr:rowOff>
    </xdr:from>
    <xdr:to>
      <xdr:col>7</xdr:col>
      <xdr:colOff>99060</xdr:colOff>
      <xdr:row>16</xdr:row>
      <xdr:rowOff>66675</xdr:rowOff>
    </xdr:to>
    <mc:AlternateContent xmlns:mc="http://schemas.openxmlformats.org/markup-compatibility/2006">
      <mc:Choice xmlns:a14="http://schemas.microsoft.com/office/drawing/2010/main" Requires="a14">
        <xdr:graphicFrame macro="">
          <xdr:nvGraphicFramePr>
            <xdr:cNvPr id="3" name="Month Helper">
              <a:extLst>
                <a:ext uri="{FF2B5EF4-FFF2-40B4-BE49-F238E27FC236}">
                  <a16:creationId xmlns:a16="http://schemas.microsoft.com/office/drawing/2014/main" id="{BFCC50EE-BBDB-1094-ADA4-0F92D1A1B196}"/>
                </a:ext>
              </a:extLst>
            </xdr:cNvPr>
            <xdr:cNvGraphicFramePr/>
          </xdr:nvGraphicFramePr>
          <xdr:xfrm>
            <a:off x="0" y="0"/>
            <a:ext cx="0" cy="0"/>
          </xdr:xfrm>
          <a:graphic>
            <a:graphicData uri="http://schemas.microsoft.com/office/drawing/2010/slicer">
              <sle:slicer xmlns:sle="http://schemas.microsoft.com/office/drawing/2010/slicer" name="Month Helper"/>
            </a:graphicData>
          </a:graphic>
        </xdr:graphicFrame>
      </mc:Choice>
      <mc:Fallback>
        <xdr:sp macro="" textlink="">
          <xdr:nvSpPr>
            <xdr:cNvPr id="0" name=""/>
            <xdr:cNvSpPr>
              <a:spLocks noTextEdit="1"/>
            </xdr:cNvSpPr>
          </xdr:nvSpPr>
          <xdr:spPr>
            <a:xfrm>
              <a:off x="4953000" y="411480"/>
              <a:ext cx="1828800" cy="258127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304800</xdr:colOff>
      <xdr:row>15</xdr:row>
      <xdr:rowOff>0</xdr:rowOff>
    </xdr:to>
    <xdr:graphicFrame macro="">
      <xdr:nvGraphicFramePr>
        <xdr:cNvPr id="2" name="Chart 1">
          <a:extLst>
            <a:ext uri="{FF2B5EF4-FFF2-40B4-BE49-F238E27FC236}">
              <a16:creationId xmlns:a16="http://schemas.microsoft.com/office/drawing/2014/main" id="{17935D38-4F8A-4E09-95F8-4EBFBF94D8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16</xdr:row>
      <xdr:rowOff>0</xdr:rowOff>
    </xdr:from>
    <xdr:to>
      <xdr:col>7</xdr:col>
      <xdr:colOff>304800</xdr:colOff>
      <xdr:row>31</xdr:row>
      <xdr:rowOff>0</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EE450724-ADC6-4295-B856-F61869BB6A3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2926080"/>
              <a:ext cx="4572000" cy="2743200"/>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0</xdr:row>
      <xdr:rowOff>0</xdr:rowOff>
    </xdr:from>
    <xdr:to>
      <xdr:col>15</xdr:col>
      <xdr:colOff>304800</xdr:colOff>
      <xdr:row>15</xdr:row>
      <xdr:rowOff>0</xdr:rowOff>
    </xdr:to>
    <xdr:graphicFrame macro="">
      <xdr:nvGraphicFramePr>
        <xdr:cNvPr id="4" name="Chart 3">
          <a:extLst>
            <a:ext uri="{FF2B5EF4-FFF2-40B4-BE49-F238E27FC236}">
              <a16:creationId xmlns:a16="http://schemas.microsoft.com/office/drawing/2014/main" id="{0A069303-F111-4598-9EFA-989C746D8FE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16</xdr:row>
      <xdr:rowOff>0</xdr:rowOff>
    </xdr:from>
    <xdr:to>
      <xdr:col>15</xdr:col>
      <xdr:colOff>304800</xdr:colOff>
      <xdr:row>31</xdr:row>
      <xdr:rowOff>0</xdr:rowOff>
    </xdr:to>
    <xdr:graphicFrame macro="">
      <xdr:nvGraphicFramePr>
        <xdr:cNvPr id="5" name="Chart 4">
          <a:extLst>
            <a:ext uri="{FF2B5EF4-FFF2-40B4-BE49-F238E27FC236}">
              <a16:creationId xmlns:a16="http://schemas.microsoft.com/office/drawing/2014/main" id="{2337F6D3-4108-4CCD-8CDD-40A24C9D59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4</xdr:row>
      <xdr:rowOff>0</xdr:rowOff>
    </xdr:from>
    <xdr:to>
      <xdr:col>5</xdr:col>
      <xdr:colOff>510540</xdr:colOff>
      <xdr:row>18</xdr:row>
      <xdr:rowOff>154305</xdr:rowOff>
    </xdr:to>
    <xdr:graphicFrame macro="">
      <xdr:nvGraphicFramePr>
        <xdr:cNvPr id="2" name="Chart 1">
          <a:extLst>
            <a:ext uri="{FF2B5EF4-FFF2-40B4-BE49-F238E27FC236}">
              <a16:creationId xmlns:a16="http://schemas.microsoft.com/office/drawing/2014/main" id="{942E4554-77A8-4BCE-8660-EDE73D2C9E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19</xdr:row>
      <xdr:rowOff>152400</xdr:rowOff>
    </xdr:from>
    <xdr:to>
      <xdr:col>5</xdr:col>
      <xdr:colOff>510540</xdr:colOff>
      <xdr:row>34</xdr:row>
      <xdr:rowOff>123825</xdr:rowOff>
    </xdr:to>
    <mc:AlternateContent xmlns:mc="http://schemas.openxmlformats.org/markup-compatibility/2006">
      <mc:Choice xmlns:cx1="http://schemas.microsoft.com/office/drawing/2015/9/8/chartex" Requires="cx1">
        <xdr:graphicFrame macro="">
          <xdr:nvGraphicFramePr>
            <xdr:cNvPr id="3" name="Chart 2">
              <a:extLst>
                <a:ext uri="{FF2B5EF4-FFF2-40B4-BE49-F238E27FC236}">
                  <a16:creationId xmlns:a16="http://schemas.microsoft.com/office/drawing/2014/main" id="{2B96187A-80FD-420B-A9FA-34EFA3ADFC1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0" y="3627120"/>
              <a:ext cx="4572000" cy="2714625"/>
            </a:xfrm>
            <a:prstGeom prst="rect">
              <a:avLst/>
            </a:prstGeom>
            <a:solidFill>
              <a:prstClr val="white"/>
            </a:solidFill>
            <a:ln w="1">
              <a:solidFill>
                <a:prstClr val="green"/>
              </a:solidFill>
            </a:ln>
          </xdr:spPr>
          <xdr:txBody>
            <a:bodyPr vertOverflow="clip" horzOverflow="clip"/>
            <a:lstStyle/>
            <a:p>
              <a:r>
                <a:rPr lang="en-ZA"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6</xdr:col>
      <xdr:colOff>205740</xdr:colOff>
      <xdr:row>4</xdr:row>
      <xdr:rowOff>0</xdr:rowOff>
    </xdr:from>
    <xdr:to>
      <xdr:col>13</xdr:col>
      <xdr:colOff>510540</xdr:colOff>
      <xdr:row>18</xdr:row>
      <xdr:rowOff>154305</xdr:rowOff>
    </xdr:to>
    <xdr:graphicFrame macro="">
      <xdr:nvGraphicFramePr>
        <xdr:cNvPr id="4" name="Chart 3">
          <a:extLst>
            <a:ext uri="{FF2B5EF4-FFF2-40B4-BE49-F238E27FC236}">
              <a16:creationId xmlns:a16="http://schemas.microsoft.com/office/drawing/2014/main" id="{8E730C41-B5D6-494E-B0FB-8FDC42487D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205740</xdr:colOff>
      <xdr:row>19</xdr:row>
      <xdr:rowOff>152400</xdr:rowOff>
    </xdr:from>
    <xdr:to>
      <xdr:col>13</xdr:col>
      <xdr:colOff>510540</xdr:colOff>
      <xdr:row>34</xdr:row>
      <xdr:rowOff>123825</xdr:rowOff>
    </xdr:to>
    <xdr:graphicFrame macro="">
      <xdr:nvGraphicFramePr>
        <xdr:cNvPr id="5" name="Chart 4">
          <a:extLst>
            <a:ext uri="{FF2B5EF4-FFF2-40B4-BE49-F238E27FC236}">
              <a16:creationId xmlns:a16="http://schemas.microsoft.com/office/drawing/2014/main" id="{23AD7B63-8DBE-40F3-B72F-074A27AB11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16</xdr:col>
      <xdr:colOff>528918</xdr:colOff>
      <xdr:row>10</xdr:row>
      <xdr:rowOff>34514</xdr:rowOff>
    </xdr:from>
    <xdr:to>
      <xdr:col>17</xdr:col>
      <xdr:colOff>938306</xdr:colOff>
      <xdr:row>18</xdr:row>
      <xdr:rowOff>110715</xdr:rowOff>
    </xdr:to>
    <mc:AlternateContent xmlns:mc="http://schemas.openxmlformats.org/markup-compatibility/2006">
      <mc:Choice xmlns:a14="http://schemas.microsoft.com/office/drawing/2010/main" Requires="a14">
        <xdr:graphicFrame macro="">
          <xdr:nvGraphicFramePr>
            <xdr:cNvPr id="6" name="Region 1">
              <a:extLst>
                <a:ext uri="{FF2B5EF4-FFF2-40B4-BE49-F238E27FC236}">
                  <a16:creationId xmlns:a16="http://schemas.microsoft.com/office/drawing/2014/main" id="{D376F4C0-5A43-4646-AA24-CECDE630C3B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4765618" y="2828514"/>
              <a:ext cx="1831788" cy="1498601"/>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34514</xdr:colOff>
      <xdr:row>3</xdr:row>
      <xdr:rowOff>18826</xdr:rowOff>
    </xdr:from>
    <xdr:to>
      <xdr:col>22</xdr:col>
      <xdr:colOff>34514</xdr:colOff>
      <xdr:row>17</xdr:row>
      <xdr:rowOff>39781</xdr:rowOff>
    </xdr:to>
    <mc:AlternateContent xmlns:mc="http://schemas.openxmlformats.org/markup-compatibility/2006">
      <mc:Choice xmlns:a14="http://schemas.microsoft.com/office/drawing/2010/main" Requires="a14">
        <xdr:graphicFrame macro="">
          <xdr:nvGraphicFramePr>
            <xdr:cNvPr id="7" name="Month Helper 1">
              <a:extLst>
                <a:ext uri="{FF2B5EF4-FFF2-40B4-BE49-F238E27FC236}">
                  <a16:creationId xmlns:a16="http://schemas.microsoft.com/office/drawing/2014/main" id="{0A0AFD28-1C07-48CE-9179-9ACF7505DC22}"/>
                </a:ext>
              </a:extLst>
            </xdr:cNvPr>
            <xdr:cNvGraphicFramePr/>
          </xdr:nvGraphicFramePr>
          <xdr:xfrm>
            <a:off x="0" y="0"/>
            <a:ext cx="0" cy="0"/>
          </xdr:xfrm>
          <a:graphic>
            <a:graphicData uri="http://schemas.microsoft.com/office/drawing/2010/slicer">
              <sle:slicer xmlns:sle="http://schemas.microsoft.com/office/drawing/2010/slicer" name="Month Helper 1"/>
            </a:graphicData>
          </a:graphic>
        </xdr:graphicFrame>
      </mc:Choice>
      <mc:Fallback>
        <xdr:sp macro="" textlink="">
          <xdr:nvSpPr>
            <xdr:cNvPr id="0" name=""/>
            <xdr:cNvSpPr>
              <a:spLocks noTextEdit="1"/>
            </xdr:cNvSpPr>
          </xdr:nvSpPr>
          <xdr:spPr>
            <a:xfrm>
              <a:off x="17585914" y="1568226"/>
              <a:ext cx="1828800" cy="251015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bekezeli Ndlovu" refreshedDate="46247.954926157407" createdVersion="8" refreshedVersion="8" minRefreshableVersion="3" recordCount="90" xr:uid="{4DBFB68E-83A2-4895-933C-3181DB339345}">
  <cacheSource type="worksheet">
    <worksheetSource ref="A1:AB91" sheet="Sales_All"/>
  </cacheSource>
  <cacheFields count="31">
    <cacheField name="OrderID" numFmtId="0">
      <sharedItems count="90">
        <s v="Q1-001"/>
        <s v="Q1-002"/>
        <s v="Q1-003"/>
        <s v="Q1-004"/>
        <s v="Q1-005"/>
        <s v="Q1-006"/>
        <s v="Q1-007"/>
        <s v="Q1-008"/>
        <s v="Q1-009"/>
        <s v="Q1-010"/>
        <s v="Q1-011"/>
        <s v="Q1-012"/>
        <s v="Q1-013"/>
        <s v="Q1-014"/>
        <s v="Q1-015"/>
        <s v="Q1-016"/>
        <s v="Q1-017"/>
        <s v="Q1-018"/>
        <s v="Q1-019"/>
        <s v="Q1-020"/>
        <s v="Q1-021"/>
        <s v="Q1-022"/>
        <s v="Q1-023"/>
        <s v="Q1-024"/>
        <s v="Q1-025"/>
        <s v="Q1-026"/>
        <s v="Q1-027"/>
        <s v="Q1-028"/>
        <s v="Q1-029"/>
        <s v="Q1-030"/>
        <s v="Q3-001"/>
        <s v="Q3-002"/>
        <s v="Q3-003"/>
        <s v="Q3-004"/>
        <s v="Q3-005"/>
        <s v="Q3-006"/>
        <s v="Q3-007"/>
        <s v="Q3-008"/>
        <s v="Q3-009"/>
        <s v="Q3-010"/>
        <s v="Q3-011"/>
        <s v="Q3-012"/>
        <s v="Q3-013"/>
        <s v="Q3-014"/>
        <s v="Q3-015"/>
        <s v="Q3-016"/>
        <s v="Q3-017"/>
        <s v="Q3-018"/>
        <s v="Q3-019"/>
        <s v="Q3-020"/>
        <s v="Q3-021"/>
        <s v="Q3-022"/>
        <s v="Q3-023"/>
        <s v="Q3-024"/>
        <s v="Q3-025"/>
        <s v="Q3-026"/>
        <s v="Q3-027"/>
        <s v="Q3-028"/>
        <s v="Q3-029"/>
        <s v="Q3-030"/>
        <s v="Q2-001"/>
        <s v="Q2-002"/>
        <s v="Q2-003"/>
        <s v="Q2-004"/>
        <s v="Q2-005"/>
        <s v="Q2-006"/>
        <s v="Q2-007"/>
        <s v="Q2-008"/>
        <s v="Q2-009"/>
        <s v="Q2-010"/>
        <s v="Q2-011"/>
        <s v="Q2-012"/>
        <s v="Q2-013"/>
        <s v="Q2-014"/>
        <s v="Q2-015"/>
        <s v="Q2-016"/>
        <s v="Q2-017"/>
        <s v="Q2-018"/>
        <s v="Q2-019"/>
        <s v="Q2-020"/>
        <s v="Q2-021"/>
        <s v="Q2-022"/>
        <s v="Q2-023"/>
        <s v="Q2-024"/>
        <s v="Q2-025"/>
        <s v="Q2-026"/>
        <s v="Q2-027"/>
        <s v="Q2-028"/>
        <s v="Q2-029"/>
        <s v="Q2-030"/>
      </sharedItems>
    </cacheField>
    <cacheField name="Date" numFmtId="165">
      <sharedItems containsSemiMixedTypes="0" containsNonDate="0" containsDate="1" containsString="0" minDate="2025-01-03T04:18:37" maxDate="2025-09-26T13:57:30"/>
    </cacheField>
    <cacheField name="Region" numFmtId="0">
      <sharedItems count="4">
        <s v="South"/>
        <s v="West"/>
        <s v="East"/>
        <s v="North"/>
      </sharedItems>
    </cacheField>
    <cacheField name="CustomerID" numFmtId="0">
      <sharedItems containsSemiMixedTypes="0" containsString="0" containsNumber="1" containsInteger="1" minValue="1001" maxValue="1020"/>
    </cacheField>
    <cacheField name="Product" numFmtId="0">
      <sharedItems count="6">
        <s v="Tablet"/>
        <s v="Headphones"/>
        <s v="Monitor"/>
        <s v="Smartphone"/>
        <s v="Laptop"/>
        <s v="Printer"/>
      </sharedItems>
    </cacheField>
    <cacheField name="Quantity" numFmtId="0">
      <sharedItems containsSemiMixedTypes="0" containsString="0" containsNumber="1" containsInteger="1" minValue="1" maxValue="9"/>
    </cacheField>
    <cacheField name="UnitPrice" numFmtId="0">
      <sharedItems containsSemiMixedTypes="0" containsString="0" containsNumber="1" containsInteger="1" minValue="109" maxValue="1987"/>
    </cacheField>
    <cacheField name="Category" numFmtId="0">
      <sharedItems count="3">
        <s v="Electronics"/>
        <s v="Accessories"/>
        <s v="Office"/>
      </sharedItems>
    </cacheField>
    <cacheField name="UnitCost" numFmtId="0">
      <sharedItems containsSemiMixedTypes="0" containsString="0" containsNumber="1" containsInteger="1" minValue="97" maxValue="492"/>
    </cacheField>
    <cacheField name="Field10" caption="Field10" numFmtId="0">
      <sharedItems containsNonDate="0" containsString="0" containsBlank="1"/>
    </cacheField>
    <cacheField name="Field11" caption="Field11" numFmtId="0">
      <sharedItems containsNonDate="0" containsString="0" containsBlank="1"/>
    </cacheField>
    <cacheField name="Discount" numFmtId="0">
      <sharedItems containsSemiMixedTypes="0" containsString="0" containsNumber="1" minValue="0.08" maxValue="0.23"/>
    </cacheField>
    <cacheField name="Month Helper" numFmtId="0">
      <sharedItems containsSemiMixedTypes="0" containsString="0" containsNumber="1" containsInteger="1" minValue="45688" maxValue="45930" count="9">
        <n v="45716"/>
        <n v="45747"/>
        <n v="45688"/>
        <n v="45869"/>
        <n v="45900"/>
        <n v="45930"/>
        <n v="45777"/>
        <n v="45838"/>
        <n v="45808"/>
      </sharedItems>
    </cacheField>
    <cacheField name="DeliveryDays " numFmtId="0">
      <sharedItems containsSemiMixedTypes="0" containsString="0" containsNumber="1" containsInteger="1" minValue="1" maxValue="9"/>
    </cacheField>
    <cacheField name="ReturnRate " numFmtId="0">
      <sharedItems containsSemiMixedTypes="0" containsString="0" containsNumber="1" minValue="0" maxValue="0.1"/>
    </cacheField>
    <cacheField name="MonthlyOverhead " numFmtId="0">
      <sharedItems containsSemiMixedTypes="0" containsString="0" containsNumber="1" containsInteger="1" minValue="20079" maxValue="44423"/>
    </cacheField>
    <cacheField name="MonthlySalary " numFmtId="0">
      <sharedItems containsSemiMixedTypes="0" containsString="0" containsNumber="1" containsInteger="1" minValue="55646" maxValue="99954"/>
    </cacheField>
    <cacheField name="MonthlyOther " numFmtId="0">
      <sharedItems containsSemiMixedTypes="0" containsString="0" containsNumber="1" containsInteger="1" minValue="15769" maxValue="28818"/>
    </cacheField>
    <cacheField name="Revenue" numFmtId="0">
      <sharedItems containsSemiMixedTypes="0" containsString="0" containsNumber="1" containsInteger="1" minValue="218" maxValue="17784" count="90">
        <n v="730"/>
        <n v="1134"/>
        <n v="585"/>
        <n v="5808"/>
        <n v="1418"/>
        <n v="14536"/>
        <n v="17784"/>
        <n v="5670"/>
        <n v="1220"/>
        <n v="566"/>
        <n v="3753"/>
        <n v="5076"/>
        <n v="7412"/>
        <n v="1010"/>
        <n v="4065"/>
        <n v="9760"/>
        <n v="1815"/>
        <n v="8043"/>
        <n v="1621"/>
        <n v="3030"/>
        <n v="1687"/>
        <n v="9352"/>
        <n v="5256"/>
        <n v="7288"/>
        <n v="14160"/>
        <n v="1841"/>
        <n v="5572"/>
        <n v="6066"/>
        <n v="3320"/>
        <n v="5595"/>
        <n v="640"/>
        <n v="233"/>
        <n v="2808"/>
        <n v="1809"/>
        <n v="15896"/>
        <n v="1767"/>
        <n v="3484"/>
        <n v="5844"/>
        <n v="3399"/>
        <n v="3220"/>
        <n v="2530"/>
        <n v="4902"/>
        <n v="432"/>
        <n v="13656"/>
        <n v="3840"/>
        <n v="7080"/>
        <n v="600"/>
        <n v="4256"/>
        <n v="9200"/>
        <n v="1016"/>
        <n v="1272"/>
        <n v="1186"/>
        <n v="1632"/>
        <n v="16146"/>
        <n v="3785"/>
        <n v="4248"/>
        <n v="1188"/>
        <n v="7268"/>
        <n v="3490"/>
        <n v="1953"/>
        <n v="7273"/>
        <n v="1618"/>
        <n v="9755"/>
        <n v="1187"/>
        <n v="11331"/>
        <n v="8760"/>
        <n v="7425"/>
        <n v="4416"/>
        <n v="10648"/>
        <n v="444"/>
        <n v="5343"/>
        <n v="3090"/>
        <n v="1437"/>
        <n v="12312"/>
        <n v="2828"/>
        <n v="9684"/>
        <n v="398"/>
        <n v="13472"/>
        <n v="648"/>
        <n v="3804"/>
        <n v="357"/>
        <n v="7314"/>
        <n v="2338"/>
        <n v="7856"/>
        <n v="7716"/>
        <n v="218"/>
        <n v="2241"/>
        <n v="3640"/>
        <n v="7686"/>
        <n v="2070"/>
      </sharedItems>
    </cacheField>
    <cacheField name="Discounted Revenue" numFmtId="0">
      <sharedItems containsSemiMixedTypes="0" containsString="0" containsNumber="1" minValue="179.41" maxValue="15294.24"/>
    </cacheField>
    <cacheField name="Allocate monthly expenses" numFmtId="0">
      <sharedItems containsSemiMixedTypes="0" containsString="0" containsNumber="1" containsInteger="1" minValue="7" maxValue="14"/>
    </cacheField>
    <cacheField name="Allocated Overhead" numFmtId="0">
      <sharedItems containsSemiMixedTypes="0" containsString="0" containsNumber="1" minValue="2564" maxValue="4894.2857142857147"/>
    </cacheField>
    <cacheField name="Allocated Salary" numFmtId="0">
      <sharedItems containsSemiMixedTypes="0" containsString="0" containsNumber="1" minValue="5274.75" maxValue="14279.142857142857"/>
    </cacheField>
    <cacheField name="Allocated Other" numFmtId="0">
      <sharedItems containsSemiMixedTypes="0" containsString="0" containsNumber="1" minValue="1475.4545454545455" maxValue="4116.8571428571431"/>
    </cacheField>
    <cacheField name="Profit " numFmtId="0">
      <sharedItems containsSemiMixedTypes="0" containsString="0" containsNumber="1" minValue="-20450.285714285714" maxValue="1778.4999999999993" count="90">
        <n v="-13919.699999999999"/>
        <n v="-13992.699999999999"/>
        <n v="-11455.5"/>
        <n v="-9125.7000000000007"/>
        <n v="-10241.4"/>
        <n v="-3373.7000000000003"/>
        <n v="1778.4999999999993"/>
        <n v="-10947.7"/>
        <n v="-9637.4"/>
        <n v="-11657.5"/>
        <n v="-11189.400000000001"/>
        <n v="-7052.4"/>
        <n v="-7289.7000000000007"/>
        <n v="-10839.5"/>
        <n v="-8045.4"/>
        <n v="-2905.5"/>
        <n v="-9197.4"/>
        <n v="-6775.5"/>
        <n v="-12859.699999999999"/>
        <n v="-8955.5"/>
        <n v="-14731.699999999999"/>
        <n v="-3177.5"/>
        <n v="-6872.4"/>
        <n v="-9453.7000000000007"/>
        <n v="-3701.7000000000003"/>
        <n v="-9203.4"/>
        <n v="-9246.5"/>
        <n v="-7433.4"/>
        <n v="-8529.5"/>
        <n v="-7441.4"/>
        <n v="-11633.166666666668"/>
        <n v="-10651.166666666668"/>
        <n v="-11403.545454545456"/>
        <n v="-10019.166666666668"/>
        <n v="1770.8333333333326"/>
        <n v="-12978.545454545456"/>
        <n v="-10500.545454545456"/>
        <n v="-4965.166666666667"/>
        <n v="-17127.71428571429"/>
        <n v="-18214.71428571429"/>
        <n v="-11454.545454545456"/>
        <n v="-6995.1666666666679"/>
        <n v="-19095.71428571429"/>
        <n v="-701.16666666666742"/>
        <n v="-11374.545454545456"/>
        <n v="-14384.714285714288"/>
        <n v="-18791.71428571429"/>
        <n v="-18146.71428571429"/>
        <n v="-4973.166666666667"/>
        <n v="-13306.545454545456"/>
        <n v="-18339.71428571429"/>
        <n v="-9698.1666666666679"/>
        <n v="-14520.545454545456"/>
        <n v="-99.545454545455414"/>
        <n v="-11868.545454545456"/>
        <n v="-7046.1666666666679"/>
        <n v="-13454.166666666668"/>
        <n v="-5029.166666666667"/>
        <n v="-12163.545454545456"/>
        <n v="-12774.545454545456"/>
        <n v="-7331.6428571428569"/>
        <n v="-17976.285714285714"/>
        <n v="-3720.6428571428569"/>
        <n v="-10853.111111111109"/>
        <n v="-2736.6428571428569"/>
        <n v="-13418.285714285714"/>
        <n v="-4415.6428571428569"/>
        <n v="-7035.6428571428569"/>
        <n v="-4264.6428571428569"/>
        <n v="-10910.642857142857"/>
        <n v="-6786.6428571428569"/>
        <n v="-16956.285714285714"/>
        <n v="-18432.285714285714"/>
        <n v="-2600.6428571428569"/>
        <n v="-9387.1111111111095"/>
        <n v="-5166.1111111111113"/>
        <n v="-11681.111111111109"/>
        <n v="-1055.1111111111104"/>
        <n v="-10648.642857142857"/>
        <n v="-18410.285714285714"/>
        <n v="-20450.285714285714"/>
        <n v="-4428.6428571428569"/>
        <n v="-9877.1111111111095"/>
        <n v="-5379.1111111111113"/>
        <n v="-6195.1111111111113"/>
        <n v="-11214.642857142857"/>
        <n v="-10575.111111111109"/>
        <n v="-9781.6428571428569"/>
        <n v="-15881.285714285714"/>
        <n v="-9736.6428571428569"/>
      </sharedItems>
    </cacheField>
    <cacheField name="total revenue per customer" numFmtId="0">
      <sharedItems containsSemiMixedTypes="0" containsString="0" containsNumber="1" containsInteger="1" minValue="5269" maxValue="38912"/>
    </cacheField>
    <cacheField name="Classification" numFmtId="0">
      <sharedItems count="2">
        <s v="Regular"/>
        <s v="Low Value"/>
      </sharedItems>
    </cacheField>
    <cacheField name="Category " numFmtId="0">
      <sharedItems count="3">
        <s v="Electronics"/>
        <s v="Accessories"/>
        <s v="Office"/>
      </sharedItems>
    </cacheField>
    <cacheField name="Field1" numFmtId="0" formula="'Profit '/Revenue" databaseField="0"/>
    <cacheField name="Profit Margin %" numFmtId="0" formula=" 0" databaseField="0"/>
    <cacheField name="Field2" numFmtId="0" formula="CustomerID/Quantity" databaseField="0"/>
  </cacheFields>
  <extLst>
    <ext xmlns:x14="http://schemas.microsoft.com/office/spreadsheetml/2009/9/main" uri="{725AE2AE-9491-48be-B2B4-4EB974FC3084}">
      <x14:pivotCacheDefinition pivotCacheId="374603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x v="0"/>
    <d v="2025-02-20T00:39:01"/>
    <x v="0"/>
    <n v="1018"/>
    <x v="0"/>
    <n v="1"/>
    <n v="730"/>
    <x v="0"/>
    <n v="492"/>
    <m/>
    <m/>
    <n v="0.14000000000000001"/>
    <x v="0"/>
    <n v="5"/>
    <n v="0.01"/>
    <n v="43320"/>
    <n v="70533"/>
    <n v="27724"/>
    <x v="0"/>
    <n v="627.79999999999995"/>
    <n v="10"/>
    <n v="4332"/>
    <n v="7053.3"/>
    <n v="2772.4"/>
    <x v="0"/>
    <n v="31997"/>
    <x v="0"/>
    <x v="0"/>
  </r>
  <r>
    <x v="1"/>
    <d v="2025-02-24T05:40:59"/>
    <x v="0"/>
    <n v="1004"/>
    <x v="1"/>
    <n v="3"/>
    <n v="378"/>
    <x v="1"/>
    <n v="323"/>
    <m/>
    <m/>
    <n v="0.1"/>
    <x v="0"/>
    <n v="2"/>
    <n v="0.03"/>
    <n v="43320"/>
    <n v="70533"/>
    <n v="27724"/>
    <x v="1"/>
    <n v="1020.6"/>
    <n v="10"/>
    <n v="4332"/>
    <n v="7053.3"/>
    <n v="2772.4"/>
    <x v="1"/>
    <n v="8004"/>
    <x v="1"/>
    <x v="1"/>
  </r>
  <r>
    <x v="2"/>
    <d v="2025-03-20T06:26:20"/>
    <x v="1"/>
    <n v="1005"/>
    <x v="2"/>
    <n v="1"/>
    <n v="585"/>
    <x v="0"/>
    <n v="463"/>
    <m/>
    <m/>
    <n v="0.23"/>
    <x v="1"/>
    <n v="6"/>
    <n v="0.05"/>
    <n v="34147"/>
    <n v="63890"/>
    <n v="17738"/>
    <x v="2"/>
    <n v="450.45"/>
    <n v="10"/>
    <n v="3414.7"/>
    <n v="6389"/>
    <n v="1773.8"/>
    <x v="2"/>
    <n v="24821"/>
    <x v="0"/>
    <x v="0"/>
  </r>
  <r>
    <x v="3"/>
    <d v="2025-02-15T13:42:32"/>
    <x v="2"/>
    <n v="1018"/>
    <x v="3"/>
    <n v="8"/>
    <n v="726"/>
    <x v="0"/>
    <n v="97"/>
    <m/>
    <m/>
    <n v="0.08"/>
    <x v="0"/>
    <n v="4"/>
    <n v="7.0000000000000007E-2"/>
    <n v="43320"/>
    <n v="70533"/>
    <n v="27724"/>
    <x v="3"/>
    <n v="5343.3600000000006"/>
    <n v="10"/>
    <n v="4332"/>
    <n v="7053.3"/>
    <n v="2772.4"/>
    <x v="3"/>
    <n v="31997"/>
    <x v="0"/>
    <x v="0"/>
  </r>
  <r>
    <x v="4"/>
    <d v="2025-01-06T16:27:43"/>
    <x v="3"/>
    <n v="1012"/>
    <x v="4"/>
    <n v="2"/>
    <n v="709"/>
    <x v="0"/>
    <n v="469"/>
    <m/>
    <m/>
    <n v="0.22"/>
    <x v="2"/>
    <n v="5"/>
    <n v="0.03"/>
    <n v="25640"/>
    <n v="60082"/>
    <n v="21492"/>
    <x v="4"/>
    <n v="1106.04"/>
    <n v="10"/>
    <n v="2564"/>
    <n v="6008.2"/>
    <n v="2149.1999999999998"/>
    <x v="4"/>
    <n v="8379"/>
    <x v="1"/>
    <x v="0"/>
  </r>
  <r>
    <x v="5"/>
    <d v="2025-02-28T05:26:33"/>
    <x v="2"/>
    <n v="1013"/>
    <x v="4"/>
    <n v="8"/>
    <n v="1817"/>
    <x v="0"/>
    <n v="469"/>
    <m/>
    <m/>
    <n v="0.22"/>
    <x v="0"/>
    <n v="5"/>
    <n v="0.06"/>
    <n v="43320"/>
    <n v="70533"/>
    <n v="27724"/>
    <x v="5"/>
    <n v="11338.08"/>
    <n v="10"/>
    <n v="4332"/>
    <n v="7053.3"/>
    <n v="2772.4"/>
    <x v="5"/>
    <n v="17364"/>
    <x v="1"/>
    <x v="0"/>
  </r>
  <r>
    <x v="6"/>
    <d v="2025-03-19T02:47:39"/>
    <x v="0"/>
    <n v="1017"/>
    <x v="0"/>
    <n v="9"/>
    <n v="1976"/>
    <x v="0"/>
    <n v="492"/>
    <m/>
    <m/>
    <n v="0.14000000000000001"/>
    <x v="1"/>
    <n v="4"/>
    <n v="0.02"/>
    <n v="34147"/>
    <n v="63890"/>
    <n v="17738"/>
    <x v="6"/>
    <n v="15294.24"/>
    <n v="10"/>
    <n v="3414.7"/>
    <n v="6389"/>
    <n v="1773.8"/>
    <x v="6"/>
    <n v="38912"/>
    <x v="0"/>
    <x v="0"/>
  </r>
  <r>
    <x v="7"/>
    <d v="2025-02-19T09:27:33"/>
    <x v="0"/>
    <n v="1014"/>
    <x v="0"/>
    <n v="5"/>
    <n v="1134"/>
    <x v="0"/>
    <n v="492"/>
    <m/>
    <m/>
    <n v="0.14000000000000001"/>
    <x v="0"/>
    <n v="8"/>
    <n v="7.0000000000000007E-2"/>
    <n v="43320"/>
    <n v="70533"/>
    <n v="27724"/>
    <x v="7"/>
    <n v="4876.2"/>
    <n v="10"/>
    <n v="4332"/>
    <n v="7053.3"/>
    <n v="2772.4"/>
    <x v="7"/>
    <n v="31571"/>
    <x v="0"/>
    <x v="0"/>
  </r>
  <r>
    <x v="8"/>
    <d v="2025-01-14T11:55:59"/>
    <x v="0"/>
    <n v="1020"/>
    <x v="5"/>
    <n v="1"/>
    <n v="1220"/>
    <x v="2"/>
    <n v="136"/>
    <m/>
    <m/>
    <n v="0.1"/>
    <x v="2"/>
    <n v="2"/>
    <n v="0.08"/>
    <n v="25640"/>
    <n v="60082"/>
    <n v="21492"/>
    <x v="8"/>
    <n v="1098"/>
    <n v="10"/>
    <n v="2564"/>
    <n v="6008.2"/>
    <n v="2149.1999999999998"/>
    <x v="8"/>
    <n v="21494"/>
    <x v="0"/>
    <x v="2"/>
  </r>
  <r>
    <x v="9"/>
    <d v="2025-03-27T04:51:12"/>
    <x v="1"/>
    <n v="1010"/>
    <x v="1"/>
    <n v="2"/>
    <n v="283"/>
    <x v="1"/>
    <n v="323"/>
    <m/>
    <m/>
    <n v="0.1"/>
    <x v="1"/>
    <n v="2"/>
    <n v="0.08"/>
    <n v="34147"/>
    <n v="63890"/>
    <n v="17738"/>
    <x v="9"/>
    <n v="509.40000000000003"/>
    <n v="10"/>
    <n v="3414.7"/>
    <n v="6389"/>
    <n v="1773.8"/>
    <x v="9"/>
    <n v="23446"/>
    <x v="0"/>
    <x v="1"/>
  </r>
  <r>
    <x v="10"/>
    <d v="2025-01-27T22:17:52"/>
    <x v="1"/>
    <n v="1019"/>
    <x v="4"/>
    <n v="9"/>
    <n v="417"/>
    <x v="0"/>
    <n v="469"/>
    <m/>
    <m/>
    <n v="0.22"/>
    <x v="2"/>
    <n v="8"/>
    <n v="0.06"/>
    <n v="25640"/>
    <n v="60082"/>
    <n v="21492"/>
    <x v="10"/>
    <n v="2927.34"/>
    <n v="10"/>
    <n v="2564"/>
    <n v="6008.2"/>
    <n v="2149.1999999999998"/>
    <x v="10"/>
    <n v="20633"/>
    <x v="0"/>
    <x v="0"/>
  </r>
  <r>
    <x v="11"/>
    <d v="2025-01-05T18:57:05"/>
    <x v="0"/>
    <n v="1016"/>
    <x v="4"/>
    <n v="3"/>
    <n v="1692"/>
    <x v="0"/>
    <n v="469"/>
    <m/>
    <m/>
    <n v="0.22"/>
    <x v="2"/>
    <n v="8"/>
    <n v="0.03"/>
    <n v="25640"/>
    <n v="60082"/>
    <n v="21492"/>
    <x v="11"/>
    <n v="3959.28"/>
    <n v="10"/>
    <n v="2564"/>
    <n v="6008.2"/>
    <n v="2149.1999999999998"/>
    <x v="11"/>
    <n v="22009"/>
    <x v="0"/>
    <x v="0"/>
  </r>
  <r>
    <x v="12"/>
    <d v="2025-02-05T11:02:36"/>
    <x v="2"/>
    <n v="1001"/>
    <x v="5"/>
    <n v="4"/>
    <n v="1853"/>
    <x v="2"/>
    <n v="136"/>
    <m/>
    <m/>
    <n v="0.1"/>
    <x v="0"/>
    <n v="1"/>
    <n v="7.0000000000000007E-2"/>
    <n v="43320"/>
    <n v="70533"/>
    <n v="27724"/>
    <x v="12"/>
    <n v="6670.8"/>
    <n v="10"/>
    <n v="4332"/>
    <n v="7053.3"/>
    <n v="2772.4"/>
    <x v="12"/>
    <n v="23279"/>
    <x v="0"/>
    <x v="2"/>
  </r>
  <r>
    <x v="13"/>
    <d v="2025-03-01T06:05:59"/>
    <x v="0"/>
    <n v="1005"/>
    <x v="5"/>
    <n v="2"/>
    <n v="505"/>
    <x v="2"/>
    <n v="136"/>
    <m/>
    <m/>
    <n v="0.1"/>
    <x v="1"/>
    <n v="3"/>
    <n v="0.09"/>
    <n v="34147"/>
    <n v="63890"/>
    <n v="17738"/>
    <x v="13"/>
    <n v="909"/>
    <n v="10"/>
    <n v="3414.7"/>
    <n v="6389"/>
    <n v="1773.8"/>
    <x v="13"/>
    <n v="24821"/>
    <x v="0"/>
    <x v="2"/>
  </r>
  <r>
    <x v="14"/>
    <d v="2025-01-15T01:44:38"/>
    <x v="0"/>
    <n v="1016"/>
    <x v="2"/>
    <n v="3"/>
    <n v="1355"/>
    <x v="0"/>
    <n v="463"/>
    <m/>
    <m/>
    <n v="0.23"/>
    <x v="2"/>
    <n v="4"/>
    <n v="0.06"/>
    <n v="25640"/>
    <n v="60082"/>
    <n v="21492"/>
    <x v="14"/>
    <n v="3130.05"/>
    <n v="10"/>
    <n v="2564"/>
    <n v="6008.2"/>
    <n v="2149.1999999999998"/>
    <x v="14"/>
    <n v="22009"/>
    <x v="0"/>
    <x v="0"/>
  </r>
  <r>
    <x v="15"/>
    <d v="2025-03-26T20:57:22"/>
    <x v="3"/>
    <n v="1003"/>
    <x v="5"/>
    <n v="8"/>
    <n v="1220"/>
    <x v="2"/>
    <n v="136"/>
    <m/>
    <m/>
    <n v="0.1"/>
    <x v="1"/>
    <n v="3"/>
    <n v="0.1"/>
    <n v="34147"/>
    <n v="63890"/>
    <n v="17738"/>
    <x v="15"/>
    <n v="8784"/>
    <n v="10"/>
    <n v="3414.7"/>
    <n v="6389"/>
    <n v="1773.8"/>
    <x v="15"/>
    <n v="31251"/>
    <x v="0"/>
    <x v="2"/>
  </r>
  <r>
    <x v="16"/>
    <d v="2025-01-31T05:07:32"/>
    <x v="3"/>
    <n v="1008"/>
    <x v="3"/>
    <n v="3"/>
    <n v="605"/>
    <x v="0"/>
    <n v="97"/>
    <m/>
    <m/>
    <n v="0.08"/>
    <x v="2"/>
    <n v="6"/>
    <n v="0.1"/>
    <n v="25640"/>
    <n v="60082"/>
    <n v="21492"/>
    <x v="16"/>
    <n v="1669.8000000000002"/>
    <n v="10"/>
    <n v="2564"/>
    <n v="6008.2"/>
    <n v="2149.1999999999998"/>
    <x v="16"/>
    <n v="5269"/>
    <x v="1"/>
    <x v="0"/>
  </r>
  <r>
    <x v="17"/>
    <d v="2025-03-02T22:23:58"/>
    <x v="0"/>
    <n v="1009"/>
    <x v="2"/>
    <n v="7"/>
    <n v="1149"/>
    <x v="0"/>
    <n v="463"/>
    <m/>
    <m/>
    <n v="0.23"/>
    <x v="1"/>
    <n v="9"/>
    <n v="0.02"/>
    <n v="34147"/>
    <n v="63890"/>
    <n v="17738"/>
    <x v="17"/>
    <n v="6193.1100000000006"/>
    <n v="10"/>
    <n v="3414.7"/>
    <n v="6389"/>
    <n v="1773.8"/>
    <x v="17"/>
    <n v="26022"/>
    <x v="0"/>
    <x v="0"/>
  </r>
  <r>
    <x v="18"/>
    <d v="2025-02-08T10:50:13"/>
    <x v="3"/>
    <n v="1010"/>
    <x v="1"/>
    <n v="1"/>
    <n v="1621"/>
    <x v="1"/>
    <n v="323"/>
    <m/>
    <m/>
    <n v="0.1"/>
    <x v="0"/>
    <n v="2"/>
    <n v="0"/>
    <n v="43320"/>
    <n v="70533"/>
    <n v="27724"/>
    <x v="18"/>
    <n v="1458.9"/>
    <n v="10"/>
    <n v="4332"/>
    <n v="7053.3"/>
    <n v="2772.4"/>
    <x v="18"/>
    <n v="23446"/>
    <x v="0"/>
    <x v="1"/>
  </r>
  <r>
    <x v="19"/>
    <d v="2025-03-22T19:35:46"/>
    <x v="3"/>
    <n v="1004"/>
    <x v="5"/>
    <n v="3"/>
    <n v="1010"/>
    <x v="2"/>
    <n v="136"/>
    <m/>
    <m/>
    <n v="0.1"/>
    <x v="1"/>
    <n v="1"/>
    <n v="0.02"/>
    <n v="34147"/>
    <n v="63890"/>
    <n v="17738"/>
    <x v="19"/>
    <n v="2727"/>
    <n v="10"/>
    <n v="3414.7"/>
    <n v="6389"/>
    <n v="1773.8"/>
    <x v="19"/>
    <n v="8004"/>
    <x v="1"/>
    <x v="2"/>
  </r>
  <r>
    <x v="20"/>
    <d v="2025-02-25T05:04:20"/>
    <x v="0"/>
    <n v="1008"/>
    <x v="1"/>
    <n v="7"/>
    <n v="241"/>
    <x v="1"/>
    <n v="323"/>
    <m/>
    <m/>
    <n v="0.1"/>
    <x v="0"/>
    <n v="8"/>
    <n v="0.09"/>
    <n v="43320"/>
    <n v="70533"/>
    <n v="27724"/>
    <x v="20"/>
    <n v="1518.3"/>
    <n v="10"/>
    <n v="4332"/>
    <n v="7053.3"/>
    <n v="2772.4"/>
    <x v="20"/>
    <n v="5269"/>
    <x v="1"/>
    <x v="1"/>
  </r>
  <r>
    <x v="21"/>
    <d v="2025-03-07T23:28:11"/>
    <x v="1"/>
    <n v="1005"/>
    <x v="5"/>
    <n v="7"/>
    <n v="1336"/>
    <x v="2"/>
    <n v="136"/>
    <m/>
    <m/>
    <n v="0.1"/>
    <x v="1"/>
    <n v="7"/>
    <n v="0.1"/>
    <n v="34147"/>
    <n v="63890"/>
    <n v="17738"/>
    <x v="21"/>
    <n v="8416.8000000000011"/>
    <n v="10"/>
    <n v="3414.7"/>
    <n v="6389"/>
    <n v="1773.8"/>
    <x v="21"/>
    <n v="24821"/>
    <x v="0"/>
    <x v="2"/>
  </r>
  <r>
    <x v="22"/>
    <d v="2025-01-05T15:34:20"/>
    <x v="1"/>
    <n v="1006"/>
    <x v="4"/>
    <n v="3"/>
    <n v="1752"/>
    <x v="0"/>
    <n v="469"/>
    <m/>
    <m/>
    <n v="0.22"/>
    <x v="2"/>
    <n v="3"/>
    <n v="0.02"/>
    <n v="25640"/>
    <n v="60082"/>
    <n v="21492"/>
    <x v="22"/>
    <n v="4099.68"/>
    <n v="10"/>
    <n v="2564"/>
    <n v="6008.2"/>
    <n v="2149.1999999999998"/>
    <x v="22"/>
    <n v="34295"/>
    <x v="0"/>
    <x v="0"/>
  </r>
  <r>
    <x v="23"/>
    <d v="2025-02-27T21:04:42"/>
    <x v="2"/>
    <n v="1020"/>
    <x v="1"/>
    <n v="8"/>
    <n v="911"/>
    <x v="1"/>
    <n v="323"/>
    <m/>
    <m/>
    <n v="0.1"/>
    <x v="0"/>
    <n v="1"/>
    <n v="0.04"/>
    <n v="43320"/>
    <n v="70533"/>
    <n v="27724"/>
    <x v="23"/>
    <n v="6559.2"/>
    <n v="10"/>
    <n v="4332"/>
    <n v="7053.3"/>
    <n v="2772.4"/>
    <x v="23"/>
    <n v="21494"/>
    <x v="0"/>
    <x v="1"/>
  </r>
  <r>
    <x v="24"/>
    <d v="2025-02-22T18:31:56"/>
    <x v="0"/>
    <n v="1007"/>
    <x v="2"/>
    <n v="8"/>
    <n v="1770"/>
    <x v="0"/>
    <n v="463"/>
    <m/>
    <m/>
    <n v="0.23"/>
    <x v="0"/>
    <n v="9"/>
    <n v="0.05"/>
    <n v="43320"/>
    <n v="70533"/>
    <n v="27724"/>
    <x v="24"/>
    <n v="10903.2"/>
    <n v="10"/>
    <n v="4332"/>
    <n v="7053.3"/>
    <n v="2772.4"/>
    <x v="24"/>
    <n v="29517"/>
    <x v="0"/>
    <x v="0"/>
  </r>
  <r>
    <x v="25"/>
    <d v="2025-01-03T04:18:37"/>
    <x v="3"/>
    <n v="1009"/>
    <x v="1"/>
    <n v="1"/>
    <n v="1841"/>
    <x v="1"/>
    <n v="323"/>
    <m/>
    <m/>
    <n v="0.1"/>
    <x v="2"/>
    <n v="3"/>
    <n v="0.03"/>
    <n v="25640"/>
    <n v="60082"/>
    <n v="21492"/>
    <x v="25"/>
    <n v="1656.9"/>
    <n v="10"/>
    <n v="2564"/>
    <n v="6008.2"/>
    <n v="2149.1999999999998"/>
    <x v="25"/>
    <n v="26022"/>
    <x v="0"/>
    <x v="1"/>
  </r>
  <r>
    <x v="26"/>
    <d v="2025-03-02T04:31:10"/>
    <x v="2"/>
    <n v="1001"/>
    <x v="2"/>
    <n v="7"/>
    <n v="796"/>
    <x v="0"/>
    <n v="463"/>
    <m/>
    <m/>
    <n v="0.23"/>
    <x v="1"/>
    <n v="6"/>
    <n v="0.05"/>
    <n v="34147"/>
    <n v="63890"/>
    <n v="17738"/>
    <x v="26"/>
    <n v="4290.4400000000005"/>
    <n v="10"/>
    <n v="3414.7"/>
    <n v="6389"/>
    <n v="1773.8"/>
    <x v="26"/>
    <n v="23279"/>
    <x v="0"/>
    <x v="0"/>
  </r>
  <r>
    <x v="27"/>
    <d v="2025-01-28T02:57:54"/>
    <x v="1"/>
    <n v="1003"/>
    <x v="2"/>
    <n v="6"/>
    <n v="1011"/>
    <x v="0"/>
    <n v="463"/>
    <m/>
    <m/>
    <n v="0.23"/>
    <x v="2"/>
    <n v="2"/>
    <n v="7.0000000000000007E-2"/>
    <n v="25640"/>
    <n v="60082"/>
    <n v="21492"/>
    <x v="27"/>
    <n v="4670.82"/>
    <n v="10"/>
    <n v="2564"/>
    <n v="6008.2"/>
    <n v="2149.1999999999998"/>
    <x v="27"/>
    <n v="31251"/>
    <x v="0"/>
    <x v="0"/>
  </r>
  <r>
    <x v="28"/>
    <d v="2025-03-06T02:03:03"/>
    <x v="1"/>
    <n v="1011"/>
    <x v="5"/>
    <n v="2"/>
    <n v="1660"/>
    <x v="2"/>
    <n v="136"/>
    <m/>
    <m/>
    <n v="0.1"/>
    <x v="1"/>
    <n v="9"/>
    <n v="0.05"/>
    <n v="34147"/>
    <n v="63890"/>
    <n v="17738"/>
    <x v="28"/>
    <n v="2988"/>
    <n v="10"/>
    <n v="3414.7"/>
    <n v="6389"/>
    <n v="1773.8"/>
    <x v="28"/>
    <n v="17906"/>
    <x v="1"/>
    <x v="2"/>
  </r>
  <r>
    <x v="29"/>
    <d v="2025-01-09T15:03:51"/>
    <x v="2"/>
    <n v="1016"/>
    <x v="2"/>
    <n v="5"/>
    <n v="1119"/>
    <x v="0"/>
    <n v="463"/>
    <m/>
    <m/>
    <n v="0.23"/>
    <x v="2"/>
    <n v="2"/>
    <n v="7.0000000000000007E-2"/>
    <n v="25640"/>
    <n v="60082"/>
    <n v="21492"/>
    <x v="29"/>
    <n v="4308.1500000000005"/>
    <n v="10"/>
    <n v="2564"/>
    <n v="6008.2"/>
    <n v="2149.1999999999998"/>
    <x v="29"/>
    <n v="22009"/>
    <x v="0"/>
    <x v="0"/>
  </r>
  <r>
    <x v="30"/>
    <d v="2025-07-01T19:52:10"/>
    <x v="3"/>
    <n v="1001"/>
    <x v="2"/>
    <n v="4"/>
    <n v="160"/>
    <x v="0"/>
    <n v="463"/>
    <m/>
    <m/>
    <n v="0.23"/>
    <x v="3"/>
    <n v="3"/>
    <n v="0.06"/>
    <n v="36304"/>
    <n v="63297"/>
    <n v="25453"/>
    <x v="30"/>
    <n v="492.8"/>
    <n v="12"/>
    <n v="3025.3333333333335"/>
    <n v="5274.75"/>
    <n v="2121.0833333333335"/>
    <x v="30"/>
    <n v="23279"/>
    <x v="0"/>
    <x v="0"/>
  </r>
  <r>
    <x v="31"/>
    <d v="2025-07-21T11:59:20"/>
    <x v="0"/>
    <n v="1001"/>
    <x v="2"/>
    <n v="1"/>
    <n v="233"/>
    <x v="0"/>
    <n v="463"/>
    <m/>
    <m/>
    <n v="0.23"/>
    <x v="3"/>
    <n v="4"/>
    <n v="7.0000000000000007E-2"/>
    <n v="36304"/>
    <n v="63297"/>
    <n v="25453"/>
    <x v="31"/>
    <n v="179.41"/>
    <n v="12"/>
    <n v="3025.3333333333335"/>
    <n v="5274.75"/>
    <n v="2121.0833333333335"/>
    <x v="31"/>
    <n v="23279"/>
    <x v="0"/>
    <x v="0"/>
  </r>
  <r>
    <x v="32"/>
    <d v="2025-08-25T12:07:21"/>
    <x v="1"/>
    <n v="1010"/>
    <x v="3"/>
    <n v="9"/>
    <n v="312"/>
    <x v="0"/>
    <n v="97"/>
    <m/>
    <m/>
    <n v="0.08"/>
    <x v="4"/>
    <n v="6"/>
    <n v="0.05"/>
    <n v="36734"/>
    <n v="93760"/>
    <n v="16230"/>
    <x v="32"/>
    <n v="2583.36"/>
    <n v="11"/>
    <n v="3339.4545454545455"/>
    <n v="8523.636363636364"/>
    <n v="1475.4545454545455"/>
    <x v="32"/>
    <n v="23446"/>
    <x v="0"/>
    <x v="0"/>
  </r>
  <r>
    <x v="33"/>
    <d v="2025-07-06T05:37:07"/>
    <x v="2"/>
    <n v="1019"/>
    <x v="4"/>
    <n v="3"/>
    <n v="603"/>
    <x v="0"/>
    <n v="469"/>
    <m/>
    <m/>
    <n v="0.22"/>
    <x v="3"/>
    <n v="5"/>
    <n v="0.03"/>
    <n v="36304"/>
    <n v="63297"/>
    <n v="25453"/>
    <x v="33"/>
    <n v="1411.02"/>
    <n v="12"/>
    <n v="3025.3333333333335"/>
    <n v="5274.75"/>
    <n v="2121.0833333333335"/>
    <x v="33"/>
    <n v="20633"/>
    <x v="0"/>
    <x v="0"/>
  </r>
  <r>
    <x v="34"/>
    <d v="2025-07-12T16:09:44"/>
    <x v="0"/>
    <n v="1006"/>
    <x v="2"/>
    <n v="8"/>
    <n v="1987"/>
    <x v="0"/>
    <n v="463"/>
    <m/>
    <m/>
    <n v="0.23"/>
    <x v="3"/>
    <n v="3"/>
    <n v="0.06"/>
    <n v="36304"/>
    <n v="63297"/>
    <n v="25453"/>
    <x v="34"/>
    <n v="12239.92"/>
    <n v="12"/>
    <n v="3025.3333333333335"/>
    <n v="5274.75"/>
    <n v="2121.0833333333335"/>
    <x v="34"/>
    <n v="34295"/>
    <x v="0"/>
    <x v="0"/>
  </r>
  <r>
    <x v="35"/>
    <d v="2025-08-22T18:59:12"/>
    <x v="3"/>
    <n v="1008"/>
    <x v="4"/>
    <n v="3"/>
    <n v="589"/>
    <x v="0"/>
    <n v="469"/>
    <m/>
    <m/>
    <n v="0.22"/>
    <x v="4"/>
    <n v="5"/>
    <n v="0.04"/>
    <n v="36734"/>
    <n v="93760"/>
    <n v="16230"/>
    <x v="35"/>
    <n v="1378.26"/>
    <n v="11"/>
    <n v="3339.4545454545455"/>
    <n v="8523.636363636364"/>
    <n v="1475.4545454545455"/>
    <x v="35"/>
    <n v="5269"/>
    <x v="1"/>
    <x v="0"/>
  </r>
  <r>
    <x v="36"/>
    <d v="2025-08-17T07:43:17"/>
    <x v="2"/>
    <n v="1006"/>
    <x v="1"/>
    <n v="2"/>
    <n v="1742"/>
    <x v="1"/>
    <n v="323"/>
    <m/>
    <m/>
    <n v="0.1"/>
    <x v="4"/>
    <n v="4"/>
    <n v="0.04"/>
    <n v="36734"/>
    <n v="93760"/>
    <n v="16230"/>
    <x v="36"/>
    <n v="3135.6"/>
    <n v="11"/>
    <n v="3339.4545454545455"/>
    <n v="8523.636363636364"/>
    <n v="1475.4545454545455"/>
    <x v="36"/>
    <n v="34295"/>
    <x v="0"/>
    <x v="1"/>
  </r>
  <r>
    <x v="37"/>
    <d v="2025-07-19T08:02:05"/>
    <x v="0"/>
    <n v="1015"/>
    <x v="3"/>
    <n v="4"/>
    <n v="1461"/>
    <x v="0"/>
    <n v="97"/>
    <m/>
    <m/>
    <n v="0.08"/>
    <x v="3"/>
    <n v="8"/>
    <n v="0.03"/>
    <n v="36304"/>
    <n v="63297"/>
    <n v="25453"/>
    <x v="37"/>
    <n v="5376.4800000000005"/>
    <n v="12"/>
    <n v="3025.3333333333335"/>
    <n v="5274.75"/>
    <n v="2121.0833333333335"/>
    <x v="37"/>
    <n v="10260"/>
    <x v="1"/>
    <x v="0"/>
  </r>
  <r>
    <x v="38"/>
    <d v="2025-09-14T07:32:35"/>
    <x v="0"/>
    <n v="1002"/>
    <x v="4"/>
    <n v="3"/>
    <n v="1133"/>
    <x v="0"/>
    <n v="469"/>
    <m/>
    <m/>
    <n v="0.22"/>
    <x v="5"/>
    <n v="1"/>
    <n v="0.02"/>
    <n v="34260"/>
    <n v="70760"/>
    <n v="28818"/>
    <x v="38"/>
    <n v="2651.2200000000003"/>
    <n v="7"/>
    <n v="4894.2857142857147"/>
    <n v="10108.571428571429"/>
    <n v="4116.8571428571431"/>
    <x v="38"/>
    <n v="14833"/>
    <x v="1"/>
    <x v="0"/>
  </r>
  <r>
    <x v="39"/>
    <d v="2025-09-26T13:57:30"/>
    <x v="2"/>
    <n v="1018"/>
    <x v="2"/>
    <n v="5"/>
    <n v="644"/>
    <x v="0"/>
    <n v="463"/>
    <m/>
    <m/>
    <n v="0.23"/>
    <x v="5"/>
    <n v="1"/>
    <n v="0.05"/>
    <n v="34260"/>
    <n v="70760"/>
    <n v="28818"/>
    <x v="39"/>
    <n v="2479.4"/>
    <n v="7"/>
    <n v="4894.2857142857147"/>
    <n v="10108.571428571429"/>
    <n v="4116.8571428571431"/>
    <x v="39"/>
    <n v="31997"/>
    <x v="0"/>
    <x v="0"/>
  </r>
  <r>
    <x v="40"/>
    <d v="2025-08-28T03:43:39"/>
    <x v="3"/>
    <n v="1002"/>
    <x v="1"/>
    <n v="2"/>
    <n v="1265"/>
    <x v="1"/>
    <n v="323"/>
    <m/>
    <m/>
    <n v="0.1"/>
    <x v="4"/>
    <n v="6"/>
    <n v="0.05"/>
    <n v="36734"/>
    <n v="93760"/>
    <n v="16230"/>
    <x v="40"/>
    <n v="2277"/>
    <n v="11"/>
    <n v="3339.4545454545455"/>
    <n v="8523.636363636364"/>
    <n v="1475.4545454545455"/>
    <x v="40"/>
    <n v="14833"/>
    <x v="1"/>
    <x v="1"/>
  </r>
  <r>
    <x v="41"/>
    <d v="2025-07-30T02:18:33"/>
    <x v="1"/>
    <n v="1011"/>
    <x v="0"/>
    <n v="3"/>
    <n v="1634"/>
    <x v="0"/>
    <n v="492"/>
    <m/>
    <m/>
    <n v="0.14000000000000001"/>
    <x v="3"/>
    <n v="7"/>
    <n v="0.09"/>
    <n v="36304"/>
    <n v="63297"/>
    <n v="25453"/>
    <x v="41"/>
    <n v="4215.72"/>
    <n v="12"/>
    <n v="3025.3333333333335"/>
    <n v="5274.75"/>
    <n v="2121.0833333333335"/>
    <x v="41"/>
    <n v="17906"/>
    <x v="1"/>
    <x v="0"/>
  </r>
  <r>
    <x v="42"/>
    <d v="2025-09-16T22:58:49"/>
    <x v="2"/>
    <n v="1012"/>
    <x v="5"/>
    <n v="3"/>
    <n v="144"/>
    <x v="2"/>
    <n v="136"/>
    <m/>
    <m/>
    <n v="0.1"/>
    <x v="5"/>
    <n v="7"/>
    <n v="7.0000000000000007E-2"/>
    <n v="34260"/>
    <n v="70760"/>
    <n v="28818"/>
    <x v="42"/>
    <n v="388.8"/>
    <n v="7"/>
    <n v="4894.2857142857147"/>
    <n v="10108.571428571429"/>
    <n v="4116.8571428571431"/>
    <x v="42"/>
    <n v="8379"/>
    <x v="1"/>
    <x v="2"/>
  </r>
  <r>
    <x v="43"/>
    <d v="2025-07-11T12:28:58"/>
    <x v="1"/>
    <n v="1005"/>
    <x v="0"/>
    <n v="8"/>
    <n v="1707"/>
    <x v="0"/>
    <n v="492"/>
    <m/>
    <m/>
    <n v="0.14000000000000001"/>
    <x v="3"/>
    <n v="6"/>
    <n v="0.08"/>
    <n v="36304"/>
    <n v="63297"/>
    <n v="25453"/>
    <x v="43"/>
    <n v="11744.16"/>
    <n v="12"/>
    <n v="3025.3333333333335"/>
    <n v="5274.75"/>
    <n v="2121.0833333333335"/>
    <x v="43"/>
    <n v="24821"/>
    <x v="0"/>
    <x v="0"/>
  </r>
  <r>
    <x v="44"/>
    <d v="2025-08-04T02:22:47"/>
    <x v="3"/>
    <n v="1004"/>
    <x v="4"/>
    <n v="4"/>
    <n v="960"/>
    <x v="0"/>
    <n v="469"/>
    <m/>
    <m/>
    <n v="0.22"/>
    <x v="4"/>
    <n v="7"/>
    <n v="0.04"/>
    <n v="36734"/>
    <n v="93760"/>
    <n v="16230"/>
    <x v="44"/>
    <n v="2995.2000000000003"/>
    <n v="11"/>
    <n v="3339.4545454545455"/>
    <n v="8523.636363636364"/>
    <n v="1475.4545454545455"/>
    <x v="44"/>
    <n v="8004"/>
    <x v="1"/>
    <x v="0"/>
  </r>
  <r>
    <x v="45"/>
    <d v="2025-09-26T05:20:38"/>
    <x v="1"/>
    <n v="1017"/>
    <x v="4"/>
    <n v="5"/>
    <n v="1416"/>
    <x v="0"/>
    <n v="469"/>
    <m/>
    <m/>
    <n v="0.22"/>
    <x v="5"/>
    <n v="5"/>
    <n v="0.03"/>
    <n v="34260"/>
    <n v="70760"/>
    <n v="28818"/>
    <x v="45"/>
    <n v="5522.4000000000005"/>
    <n v="7"/>
    <n v="4894.2857142857147"/>
    <n v="10108.571428571429"/>
    <n v="4116.8571428571431"/>
    <x v="45"/>
    <n v="38912"/>
    <x v="0"/>
    <x v="0"/>
  </r>
  <r>
    <x v="46"/>
    <d v="2025-09-06T10:37:20"/>
    <x v="0"/>
    <n v="1017"/>
    <x v="5"/>
    <n v="2"/>
    <n v="300"/>
    <x v="2"/>
    <n v="136"/>
    <m/>
    <m/>
    <n v="0.1"/>
    <x v="5"/>
    <n v="8"/>
    <n v="7.0000000000000007E-2"/>
    <n v="34260"/>
    <n v="70760"/>
    <n v="28818"/>
    <x v="46"/>
    <n v="540"/>
    <n v="7"/>
    <n v="4894.2857142857147"/>
    <n v="10108.571428571429"/>
    <n v="4116.8571428571431"/>
    <x v="46"/>
    <n v="38912"/>
    <x v="0"/>
    <x v="2"/>
  </r>
  <r>
    <x v="47"/>
    <d v="2025-09-11T18:57:24"/>
    <x v="1"/>
    <n v="1001"/>
    <x v="4"/>
    <n v="7"/>
    <n v="608"/>
    <x v="0"/>
    <n v="469"/>
    <m/>
    <m/>
    <n v="0.22"/>
    <x v="5"/>
    <n v="4"/>
    <n v="7.0000000000000007E-2"/>
    <n v="34260"/>
    <n v="70760"/>
    <n v="28818"/>
    <x v="47"/>
    <n v="3319.6800000000003"/>
    <n v="7"/>
    <n v="4894.2857142857147"/>
    <n v="10108.571428571429"/>
    <n v="4116.8571428571431"/>
    <x v="47"/>
    <n v="23279"/>
    <x v="0"/>
    <x v="0"/>
  </r>
  <r>
    <x v="48"/>
    <d v="2025-07-29T19:10:36"/>
    <x v="1"/>
    <n v="1017"/>
    <x v="4"/>
    <n v="8"/>
    <n v="1150"/>
    <x v="0"/>
    <n v="469"/>
    <m/>
    <m/>
    <n v="0.22"/>
    <x v="3"/>
    <n v="3"/>
    <n v="0.01"/>
    <n v="36304"/>
    <n v="63297"/>
    <n v="25453"/>
    <x v="48"/>
    <n v="7176"/>
    <n v="12"/>
    <n v="3025.3333333333335"/>
    <n v="5274.75"/>
    <n v="2121.0833333333335"/>
    <x v="48"/>
    <n v="38912"/>
    <x v="0"/>
    <x v="0"/>
  </r>
  <r>
    <x v="49"/>
    <d v="2025-08-11T16:50:37"/>
    <x v="3"/>
    <n v="1019"/>
    <x v="0"/>
    <n v="2"/>
    <n v="508"/>
    <x v="0"/>
    <n v="492"/>
    <m/>
    <m/>
    <n v="0.14000000000000001"/>
    <x v="4"/>
    <n v="4"/>
    <n v="0.01"/>
    <n v="36734"/>
    <n v="93760"/>
    <n v="16230"/>
    <x v="49"/>
    <n v="873.76"/>
    <n v="11"/>
    <n v="3339.4545454545455"/>
    <n v="8523.636363636364"/>
    <n v="1475.4545454545455"/>
    <x v="49"/>
    <n v="20633"/>
    <x v="0"/>
    <x v="0"/>
  </r>
  <r>
    <x v="50"/>
    <d v="2025-09-26T05:54:47"/>
    <x v="0"/>
    <n v="1019"/>
    <x v="0"/>
    <n v="1"/>
    <n v="1272"/>
    <x v="0"/>
    <n v="492"/>
    <m/>
    <m/>
    <n v="0.14000000000000001"/>
    <x v="5"/>
    <n v="9"/>
    <n v="0.05"/>
    <n v="34260"/>
    <n v="70760"/>
    <n v="28818"/>
    <x v="50"/>
    <n v="1093.92"/>
    <n v="7"/>
    <n v="4894.2857142857147"/>
    <n v="10108.571428571429"/>
    <n v="4116.8571428571431"/>
    <x v="50"/>
    <n v="20633"/>
    <x v="0"/>
    <x v="0"/>
  </r>
  <r>
    <x v="51"/>
    <d v="2025-07-03T08:25:50"/>
    <x v="3"/>
    <n v="1012"/>
    <x v="2"/>
    <n v="1"/>
    <n v="1186"/>
    <x v="0"/>
    <n v="463"/>
    <m/>
    <m/>
    <n v="0.23"/>
    <x v="3"/>
    <n v="8"/>
    <n v="0.02"/>
    <n v="36304"/>
    <n v="63297"/>
    <n v="25453"/>
    <x v="51"/>
    <n v="913.22"/>
    <n v="12"/>
    <n v="3025.3333333333335"/>
    <n v="5274.75"/>
    <n v="2121.0833333333335"/>
    <x v="51"/>
    <n v="8379"/>
    <x v="1"/>
    <x v="0"/>
  </r>
  <r>
    <x v="52"/>
    <d v="2025-08-05T02:56:56"/>
    <x v="2"/>
    <n v="1001"/>
    <x v="4"/>
    <n v="6"/>
    <n v="272"/>
    <x v="0"/>
    <n v="469"/>
    <m/>
    <m/>
    <n v="0.22"/>
    <x v="4"/>
    <n v="2"/>
    <n v="0.1"/>
    <n v="36734"/>
    <n v="93760"/>
    <n v="16230"/>
    <x v="52"/>
    <n v="1272.96"/>
    <n v="11"/>
    <n v="3339.4545454545455"/>
    <n v="8523.636363636364"/>
    <n v="1475.4545454545455"/>
    <x v="52"/>
    <n v="23279"/>
    <x v="0"/>
    <x v="0"/>
  </r>
  <r>
    <x v="53"/>
    <d v="2025-08-06T10:48:58"/>
    <x v="0"/>
    <n v="1014"/>
    <x v="1"/>
    <n v="9"/>
    <n v="1794"/>
    <x v="1"/>
    <n v="323"/>
    <m/>
    <m/>
    <n v="0.1"/>
    <x v="4"/>
    <n v="6"/>
    <n v="0.08"/>
    <n v="36734"/>
    <n v="93760"/>
    <n v="16230"/>
    <x v="53"/>
    <n v="14531.4"/>
    <n v="11"/>
    <n v="3339.4545454545455"/>
    <n v="8523.636363636364"/>
    <n v="1475.4545454545455"/>
    <x v="53"/>
    <n v="31571"/>
    <x v="0"/>
    <x v="1"/>
  </r>
  <r>
    <x v="54"/>
    <d v="2025-08-26T20:17:21"/>
    <x v="0"/>
    <n v="1006"/>
    <x v="2"/>
    <n v="5"/>
    <n v="757"/>
    <x v="0"/>
    <n v="463"/>
    <m/>
    <m/>
    <n v="0.23"/>
    <x v="4"/>
    <n v="4"/>
    <n v="0.05"/>
    <n v="36734"/>
    <n v="93760"/>
    <n v="16230"/>
    <x v="54"/>
    <n v="2914.4500000000003"/>
    <n v="11"/>
    <n v="3339.4545454545455"/>
    <n v="8523.636363636364"/>
    <n v="1475.4545454545455"/>
    <x v="54"/>
    <n v="34295"/>
    <x v="0"/>
    <x v="0"/>
  </r>
  <r>
    <x v="55"/>
    <d v="2025-07-20T08:37:46"/>
    <x v="1"/>
    <n v="1017"/>
    <x v="3"/>
    <n v="9"/>
    <n v="472"/>
    <x v="0"/>
    <n v="97"/>
    <m/>
    <m/>
    <n v="0.08"/>
    <x v="3"/>
    <n v="1"/>
    <n v="0.02"/>
    <n v="36304"/>
    <n v="63297"/>
    <n v="25453"/>
    <x v="55"/>
    <n v="3908.1600000000003"/>
    <n v="12"/>
    <n v="3025.3333333333335"/>
    <n v="5274.75"/>
    <n v="2121.0833333333335"/>
    <x v="55"/>
    <n v="38912"/>
    <x v="0"/>
    <x v="0"/>
  </r>
  <r>
    <x v="56"/>
    <d v="2025-07-24T13:05:26"/>
    <x v="2"/>
    <n v="1002"/>
    <x v="4"/>
    <n v="9"/>
    <n v="132"/>
    <x v="0"/>
    <n v="469"/>
    <m/>
    <m/>
    <n v="0.22"/>
    <x v="3"/>
    <n v="7"/>
    <n v="0.01"/>
    <n v="36304"/>
    <n v="63297"/>
    <n v="25453"/>
    <x v="56"/>
    <n v="926.64"/>
    <n v="12"/>
    <n v="3025.3333333333335"/>
    <n v="5274.75"/>
    <n v="2121.0833333333335"/>
    <x v="56"/>
    <n v="14833"/>
    <x v="1"/>
    <x v="0"/>
  </r>
  <r>
    <x v="57"/>
    <d v="2025-07-23T06:59:14"/>
    <x v="3"/>
    <n v="1018"/>
    <x v="4"/>
    <n v="4"/>
    <n v="1817"/>
    <x v="0"/>
    <n v="469"/>
    <m/>
    <m/>
    <n v="0.22"/>
    <x v="3"/>
    <n v="3"/>
    <n v="0.1"/>
    <n v="36304"/>
    <n v="63297"/>
    <n v="25453"/>
    <x v="57"/>
    <n v="5669.04"/>
    <n v="12"/>
    <n v="3025.3333333333335"/>
    <n v="5274.75"/>
    <n v="2121.0833333333335"/>
    <x v="57"/>
    <n v="31997"/>
    <x v="0"/>
    <x v="0"/>
  </r>
  <r>
    <x v="58"/>
    <d v="2025-08-20T15:47:14"/>
    <x v="3"/>
    <n v="1019"/>
    <x v="2"/>
    <n v="5"/>
    <n v="698"/>
    <x v="0"/>
    <n v="463"/>
    <m/>
    <m/>
    <n v="0.23"/>
    <x v="4"/>
    <n v="4"/>
    <n v="7.0000000000000007E-2"/>
    <n v="36734"/>
    <n v="93760"/>
    <n v="16230"/>
    <x v="58"/>
    <n v="2687.3"/>
    <n v="11"/>
    <n v="3339.4545454545455"/>
    <n v="8523.636363636364"/>
    <n v="1475.4545454545455"/>
    <x v="58"/>
    <n v="20633"/>
    <x v="0"/>
    <x v="0"/>
  </r>
  <r>
    <x v="59"/>
    <d v="2025-08-29T06:12:15"/>
    <x v="1"/>
    <n v="1003"/>
    <x v="2"/>
    <n v="3"/>
    <n v="651"/>
    <x v="0"/>
    <n v="463"/>
    <m/>
    <m/>
    <n v="0.23"/>
    <x v="4"/>
    <n v="5"/>
    <n v="0.09"/>
    <n v="36734"/>
    <n v="93760"/>
    <n v="16230"/>
    <x v="59"/>
    <n v="1503.81"/>
    <n v="11"/>
    <n v="3339.4545454545455"/>
    <n v="8523.636363636364"/>
    <n v="1475.4545454545455"/>
    <x v="59"/>
    <n v="31251"/>
    <x v="0"/>
    <x v="0"/>
  </r>
  <r>
    <x v="60"/>
    <d v="2025-04-23T06:31:04"/>
    <x v="3"/>
    <n v="1016"/>
    <x v="0"/>
    <n v="7"/>
    <n v="1039"/>
    <x v="0"/>
    <n v="492"/>
    <m/>
    <m/>
    <n v="0.14000000000000001"/>
    <x v="6"/>
    <n v="6"/>
    <n v="0.05"/>
    <n v="44423"/>
    <n v="90674"/>
    <n v="21152"/>
    <x v="60"/>
    <n v="6254.78"/>
    <n v="14"/>
    <n v="3173.0714285714284"/>
    <n v="6476.7142857142853"/>
    <n v="1510.8571428571429"/>
    <x v="60"/>
    <n v="22009"/>
    <x v="0"/>
    <x v="0"/>
  </r>
  <r>
    <x v="61"/>
    <d v="2025-06-13T23:38:55"/>
    <x v="1"/>
    <n v="1010"/>
    <x v="3"/>
    <n v="2"/>
    <n v="809"/>
    <x v="0"/>
    <n v="97"/>
    <m/>
    <m/>
    <n v="0.08"/>
    <x v="7"/>
    <n v="5"/>
    <n v="0"/>
    <n v="20079"/>
    <n v="99954"/>
    <n v="15769"/>
    <x v="61"/>
    <n v="1488.5600000000002"/>
    <n v="7"/>
    <n v="2868.4285714285716"/>
    <n v="14279.142857142857"/>
    <n v="2252.7142857142858"/>
    <x v="61"/>
    <n v="23446"/>
    <x v="0"/>
    <x v="0"/>
  </r>
  <r>
    <x v="62"/>
    <d v="2025-04-27T14:59:57"/>
    <x v="1"/>
    <n v="1014"/>
    <x v="2"/>
    <n v="5"/>
    <n v="1951"/>
    <x v="0"/>
    <n v="463"/>
    <m/>
    <m/>
    <n v="0.23"/>
    <x v="6"/>
    <n v="3"/>
    <n v="0.04"/>
    <n v="44423"/>
    <n v="90674"/>
    <n v="21152"/>
    <x v="62"/>
    <n v="7511.35"/>
    <n v="14"/>
    <n v="3173.0714285714284"/>
    <n v="6476.7142857142853"/>
    <n v="1510.8571428571429"/>
    <x v="62"/>
    <n v="31571"/>
    <x v="0"/>
    <x v="0"/>
  </r>
  <r>
    <x v="63"/>
    <d v="2025-05-12T11:25:10"/>
    <x v="0"/>
    <n v="1009"/>
    <x v="3"/>
    <n v="1"/>
    <n v="1187"/>
    <x v="0"/>
    <n v="97"/>
    <m/>
    <m/>
    <n v="0.08"/>
    <x v="8"/>
    <n v="9"/>
    <n v="0.05"/>
    <n v="32119"/>
    <n v="55646"/>
    <n v="19723"/>
    <x v="63"/>
    <n v="1092.04"/>
    <n v="9"/>
    <n v="3568.7777777777778"/>
    <n v="6182.8888888888887"/>
    <n v="2191.4444444444443"/>
    <x v="63"/>
    <n v="26022"/>
    <x v="0"/>
    <x v="0"/>
  </r>
  <r>
    <x v="64"/>
    <d v="2025-04-24T02:44:59"/>
    <x v="3"/>
    <n v="1018"/>
    <x v="1"/>
    <n v="9"/>
    <n v="1259"/>
    <x v="1"/>
    <n v="323"/>
    <m/>
    <m/>
    <n v="0.1"/>
    <x v="6"/>
    <n v="4"/>
    <n v="0.04"/>
    <n v="44423"/>
    <n v="90674"/>
    <n v="21152"/>
    <x v="64"/>
    <n v="10197.9"/>
    <n v="14"/>
    <n v="3173.0714285714284"/>
    <n v="6476.7142857142853"/>
    <n v="1510.8571428571429"/>
    <x v="64"/>
    <n v="31997"/>
    <x v="0"/>
    <x v="1"/>
  </r>
  <r>
    <x v="65"/>
    <d v="2025-06-25T22:21:06"/>
    <x v="3"/>
    <n v="1010"/>
    <x v="2"/>
    <n v="6"/>
    <n v="1460"/>
    <x v="0"/>
    <n v="463"/>
    <m/>
    <m/>
    <n v="0.23"/>
    <x v="7"/>
    <n v="6"/>
    <n v="0.04"/>
    <n v="20079"/>
    <n v="99954"/>
    <n v="15769"/>
    <x v="65"/>
    <n v="6745.2"/>
    <n v="7"/>
    <n v="2868.4285714285716"/>
    <n v="14279.142857142857"/>
    <n v="2252.7142857142858"/>
    <x v="65"/>
    <n v="23446"/>
    <x v="0"/>
    <x v="0"/>
  </r>
  <r>
    <x v="66"/>
    <d v="2025-04-19T14:18:51"/>
    <x v="2"/>
    <n v="1010"/>
    <x v="5"/>
    <n v="5"/>
    <n v="1485"/>
    <x v="2"/>
    <n v="136"/>
    <m/>
    <m/>
    <n v="0.1"/>
    <x v="6"/>
    <n v="1"/>
    <n v="0.05"/>
    <n v="44423"/>
    <n v="90674"/>
    <n v="21152"/>
    <x v="66"/>
    <n v="6682.5"/>
    <n v="14"/>
    <n v="3173.0714285714284"/>
    <n v="6476.7142857142853"/>
    <n v="1510.8571428571429"/>
    <x v="66"/>
    <n v="23446"/>
    <x v="0"/>
    <x v="2"/>
  </r>
  <r>
    <x v="67"/>
    <d v="2025-04-23T04:00:40"/>
    <x v="2"/>
    <n v="1015"/>
    <x v="3"/>
    <n v="3"/>
    <n v="1472"/>
    <x v="0"/>
    <n v="97"/>
    <m/>
    <m/>
    <n v="0.08"/>
    <x v="6"/>
    <n v="4"/>
    <n v="0.04"/>
    <n v="44423"/>
    <n v="90674"/>
    <n v="21152"/>
    <x v="67"/>
    <n v="4062.7200000000003"/>
    <n v="14"/>
    <n v="3173.0714285714284"/>
    <n v="6476.7142857142853"/>
    <n v="1510.8571428571429"/>
    <x v="67"/>
    <n v="10260"/>
    <x v="1"/>
    <x v="0"/>
  </r>
  <r>
    <x v="68"/>
    <d v="2025-04-12T03:09:59"/>
    <x v="1"/>
    <n v="1020"/>
    <x v="4"/>
    <n v="8"/>
    <n v="1331"/>
    <x v="0"/>
    <n v="469"/>
    <m/>
    <m/>
    <n v="0.22"/>
    <x v="6"/>
    <n v="7"/>
    <n v="0.01"/>
    <n v="44423"/>
    <n v="90674"/>
    <n v="21152"/>
    <x v="68"/>
    <n v="8305.44"/>
    <n v="14"/>
    <n v="3173.0714285714284"/>
    <n v="6476.7142857142853"/>
    <n v="1510.8571428571429"/>
    <x v="68"/>
    <n v="21494"/>
    <x v="0"/>
    <x v="0"/>
  </r>
  <r>
    <x v="69"/>
    <d v="2025-04-13T18:14:58"/>
    <x v="1"/>
    <n v="1001"/>
    <x v="3"/>
    <n v="2"/>
    <n v="222"/>
    <x v="0"/>
    <n v="97"/>
    <m/>
    <m/>
    <n v="0.08"/>
    <x v="6"/>
    <n v="4"/>
    <n v="0.03"/>
    <n v="44423"/>
    <n v="90674"/>
    <n v="21152"/>
    <x v="69"/>
    <n v="408.48"/>
    <n v="14"/>
    <n v="3173.0714285714284"/>
    <n v="6476.7142857142853"/>
    <n v="1510.8571428571429"/>
    <x v="69"/>
    <n v="23279"/>
    <x v="0"/>
    <x v="0"/>
  </r>
  <r>
    <x v="70"/>
    <d v="2025-04-07T10:51:29"/>
    <x v="0"/>
    <n v="1012"/>
    <x v="1"/>
    <n v="3"/>
    <n v="1781"/>
    <x v="1"/>
    <n v="323"/>
    <m/>
    <m/>
    <n v="0.1"/>
    <x v="6"/>
    <n v="5"/>
    <n v="0.09"/>
    <n v="44423"/>
    <n v="90674"/>
    <n v="21152"/>
    <x v="70"/>
    <n v="4808.7"/>
    <n v="14"/>
    <n v="3173.0714285714284"/>
    <n v="6476.7142857142853"/>
    <n v="1510.8571428571429"/>
    <x v="70"/>
    <n v="8379"/>
    <x v="1"/>
    <x v="1"/>
  </r>
  <r>
    <x v="71"/>
    <d v="2025-06-15T17:46:07"/>
    <x v="1"/>
    <n v="1001"/>
    <x v="1"/>
    <n v="2"/>
    <n v="1545"/>
    <x v="1"/>
    <n v="323"/>
    <m/>
    <m/>
    <n v="0.1"/>
    <x v="7"/>
    <n v="8"/>
    <n v="0"/>
    <n v="20079"/>
    <n v="99954"/>
    <n v="15769"/>
    <x v="71"/>
    <n v="2781"/>
    <n v="7"/>
    <n v="2868.4285714285716"/>
    <n v="14279.142857142857"/>
    <n v="2252.7142857142858"/>
    <x v="71"/>
    <n v="23279"/>
    <x v="0"/>
    <x v="1"/>
  </r>
  <r>
    <x v="72"/>
    <d v="2025-06-19T09:22:19"/>
    <x v="2"/>
    <n v="1019"/>
    <x v="4"/>
    <n v="1"/>
    <n v="1437"/>
    <x v="0"/>
    <n v="469"/>
    <m/>
    <m/>
    <n v="0.22"/>
    <x v="7"/>
    <n v="7"/>
    <n v="0"/>
    <n v="20079"/>
    <n v="99954"/>
    <n v="15769"/>
    <x v="72"/>
    <n v="1120.8600000000001"/>
    <n v="7"/>
    <n v="2868.4285714285716"/>
    <n v="14279.142857142857"/>
    <n v="2252.7142857142858"/>
    <x v="72"/>
    <n v="20633"/>
    <x v="0"/>
    <x v="0"/>
  </r>
  <r>
    <x v="73"/>
    <d v="2025-04-07T11:30:29"/>
    <x v="3"/>
    <n v="1009"/>
    <x v="4"/>
    <n v="8"/>
    <n v="1539"/>
    <x v="0"/>
    <n v="469"/>
    <m/>
    <m/>
    <n v="0.22"/>
    <x v="6"/>
    <n v="4"/>
    <n v="0.03"/>
    <n v="44423"/>
    <n v="90674"/>
    <n v="21152"/>
    <x v="73"/>
    <n v="9603.36"/>
    <n v="14"/>
    <n v="3173.0714285714284"/>
    <n v="6476.7142857142853"/>
    <n v="1510.8571428571429"/>
    <x v="73"/>
    <n v="26022"/>
    <x v="0"/>
    <x v="0"/>
  </r>
  <r>
    <x v="74"/>
    <d v="2025-05-11T06:16:15"/>
    <x v="3"/>
    <n v="1013"/>
    <x v="5"/>
    <n v="2"/>
    <n v="1414"/>
    <x v="2"/>
    <n v="136"/>
    <m/>
    <m/>
    <n v="0.1"/>
    <x v="8"/>
    <n v="1"/>
    <n v="0.06"/>
    <n v="32119"/>
    <n v="55646"/>
    <n v="19723"/>
    <x v="74"/>
    <n v="2545.2000000000003"/>
    <n v="9"/>
    <n v="3568.7777777777778"/>
    <n v="6182.8888888888887"/>
    <n v="2191.4444444444443"/>
    <x v="74"/>
    <n v="17364"/>
    <x v="1"/>
    <x v="2"/>
  </r>
  <r>
    <x v="75"/>
    <d v="2025-05-12T02:06:55"/>
    <x v="2"/>
    <n v="1011"/>
    <x v="1"/>
    <n v="9"/>
    <n v="1076"/>
    <x v="1"/>
    <n v="323"/>
    <m/>
    <m/>
    <n v="0.1"/>
    <x v="8"/>
    <n v="5"/>
    <n v="0.1"/>
    <n v="32119"/>
    <n v="55646"/>
    <n v="19723"/>
    <x v="75"/>
    <n v="8715.6"/>
    <n v="9"/>
    <n v="3568.7777777777778"/>
    <n v="6182.8888888888887"/>
    <n v="2191.4444444444443"/>
    <x v="75"/>
    <n v="17906"/>
    <x v="1"/>
    <x v="1"/>
  </r>
  <r>
    <x v="76"/>
    <d v="2025-05-10T19:31:43"/>
    <x v="3"/>
    <n v="1009"/>
    <x v="5"/>
    <n v="1"/>
    <n v="398"/>
    <x v="2"/>
    <n v="136"/>
    <m/>
    <m/>
    <n v="0.1"/>
    <x v="8"/>
    <n v="5"/>
    <n v="0.1"/>
    <n v="32119"/>
    <n v="55646"/>
    <n v="19723"/>
    <x v="76"/>
    <n v="358.2"/>
    <n v="9"/>
    <n v="3568.7777777777778"/>
    <n v="6182.8888888888887"/>
    <n v="2191.4444444444443"/>
    <x v="76"/>
    <n v="26022"/>
    <x v="0"/>
    <x v="2"/>
  </r>
  <r>
    <x v="77"/>
    <d v="2025-05-30T18:22:18"/>
    <x v="2"/>
    <n v="1003"/>
    <x v="1"/>
    <n v="8"/>
    <n v="1684"/>
    <x v="1"/>
    <n v="323"/>
    <m/>
    <m/>
    <n v="0.1"/>
    <x v="8"/>
    <n v="6"/>
    <n v="0.1"/>
    <n v="32119"/>
    <n v="55646"/>
    <n v="19723"/>
    <x v="77"/>
    <n v="12124.800000000001"/>
    <n v="9"/>
    <n v="3568.7777777777778"/>
    <n v="6182.8888888888887"/>
    <n v="2191.4444444444443"/>
    <x v="77"/>
    <n v="31251"/>
    <x v="0"/>
    <x v="1"/>
  </r>
  <r>
    <x v="78"/>
    <d v="2025-04-02T23:49:16"/>
    <x v="3"/>
    <n v="1010"/>
    <x v="5"/>
    <n v="1"/>
    <n v="648"/>
    <x v="2"/>
    <n v="136"/>
    <m/>
    <m/>
    <n v="0.1"/>
    <x v="6"/>
    <n v="8"/>
    <n v="0.01"/>
    <n v="44423"/>
    <n v="90674"/>
    <n v="21152"/>
    <x v="78"/>
    <n v="583.20000000000005"/>
    <n v="14"/>
    <n v="3173.0714285714284"/>
    <n v="6476.7142857142853"/>
    <n v="1510.8571428571429"/>
    <x v="78"/>
    <n v="23446"/>
    <x v="0"/>
    <x v="2"/>
  </r>
  <r>
    <x v="79"/>
    <d v="2025-06-08T20:48:39"/>
    <x v="2"/>
    <n v="1006"/>
    <x v="4"/>
    <n v="6"/>
    <n v="634"/>
    <x v="0"/>
    <n v="469"/>
    <m/>
    <m/>
    <n v="0.22"/>
    <x v="7"/>
    <n v="7"/>
    <n v="7.0000000000000007E-2"/>
    <n v="20079"/>
    <n v="99954"/>
    <n v="15769"/>
    <x v="79"/>
    <n v="2967.12"/>
    <n v="7"/>
    <n v="2868.4285714285716"/>
    <n v="14279.142857142857"/>
    <n v="2252.7142857142858"/>
    <x v="79"/>
    <n v="34295"/>
    <x v="0"/>
    <x v="0"/>
  </r>
  <r>
    <x v="80"/>
    <d v="2025-06-27T20:38:27"/>
    <x v="1"/>
    <n v="1007"/>
    <x v="4"/>
    <n v="3"/>
    <n v="119"/>
    <x v="0"/>
    <n v="469"/>
    <m/>
    <m/>
    <n v="0.22"/>
    <x v="7"/>
    <n v="7"/>
    <n v="0.05"/>
    <n v="20079"/>
    <n v="99954"/>
    <n v="15769"/>
    <x v="80"/>
    <n v="278.46000000000004"/>
    <n v="7"/>
    <n v="2868.4285714285716"/>
    <n v="14279.142857142857"/>
    <n v="2252.7142857142858"/>
    <x v="80"/>
    <n v="29517"/>
    <x v="0"/>
    <x v="0"/>
  </r>
  <r>
    <x v="81"/>
    <d v="2025-04-26T13:34:30"/>
    <x v="1"/>
    <n v="1007"/>
    <x v="3"/>
    <n v="6"/>
    <n v="1219"/>
    <x v="0"/>
    <n v="97"/>
    <m/>
    <m/>
    <n v="0.08"/>
    <x v="6"/>
    <n v="3"/>
    <n v="0.02"/>
    <n v="44423"/>
    <n v="90674"/>
    <n v="21152"/>
    <x v="81"/>
    <n v="6728.88"/>
    <n v="14"/>
    <n v="3173.0714285714284"/>
    <n v="6476.7142857142853"/>
    <n v="1510.8571428571429"/>
    <x v="81"/>
    <n v="29517"/>
    <x v="0"/>
    <x v="0"/>
  </r>
  <r>
    <x v="82"/>
    <d v="2025-05-13T17:23:54"/>
    <x v="0"/>
    <n v="1020"/>
    <x v="5"/>
    <n v="2"/>
    <n v="1169"/>
    <x v="2"/>
    <n v="136"/>
    <m/>
    <m/>
    <n v="0.1"/>
    <x v="8"/>
    <n v="5"/>
    <n v="0.09"/>
    <n v="32119"/>
    <n v="55646"/>
    <n v="19723"/>
    <x v="82"/>
    <n v="2104.2000000000003"/>
    <n v="9"/>
    <n v="3568.7777777777778"/>
    <n v="6182.8888888888887"/>
    <n v="2191.4444444444443"/>
    <x v="82"/>
    <n v="21494"/>
    <x v="0"/>
    <x v="2"/>
  </r>
  <r>
    <x v="83"/>
    <d v="2025-05-13T01:27:07"/>
    <x v="1"/>
    <n v="1019"/>
    <x v="1"/>
    <n v="4"/>
    <n v="1964"/>
    <x v="1"/>
    <n v="323"/>
    <m/>
    <m/>
    <n v="0.1"/>
    <x v="8"/>
    <n v="3"/>
    <n v="0.02"/>
    <n v="32119"/>
    <n v="55646"/>
    <n v="19723"/>
    <x v="83"/>
    <n v="7070.4000000000005"/>
    <n v="9"/>
    <n v="3568.7777777777778"/>
    <n v="6182.8888888888887"/>
    <n v="2191.4444444444443"/>
    <x v="83"/>
    <n v="20633"/>
    <x v="0"/>
    <x v="1"/>
  </r>
  <r>
    <x v="84"/>
    <d v="2025-05-20T22:05:39"/>
    <x v="1"/>
    <n v="1002"/>
    <x v="0"/>
    <n v="4"/>
    <n v="1929"/>
    <x v="0"/>
    <n v="492"/>
    <m/>
    <m/>
    <n v="0.14000000000000001"/>
    <x v="8"/>
    <n v="8"/>
    <n v="0.1"/>
    <n v="32119"/>
    <n v="55646"/>
    <n v="19723"/>
    <x v="84"/>
    <n v="6635.76"/>
    <n v="9"/>
    <n v="3568.7777777777778"/>
    <n v="6182.8888888888887"/>
    <n v="2191.4444444444443"/>
    <x v="84"/>
    <n v="14833"/>
    <x v="1"/>
    <x v="0"/>
  </r>
  <r>
    <x v="85"/>
    <d v="2025-04-09T21:25:59"/>
    <x v="2"/>
    <n v="1005"/>
    <x v="5"/>
    <n v="2"/>
    <n v="109"/>
    <x v="2"/>
    <n v="136"/>
    <m/>
    <m/>
    <n v="0.1"/>
    <x v="6"/>
    <n v="2"/>
    <n v="0.06"/>
    <n v="44423"/>
    <n v="90674"/>
    <n v="21152"/>
    <x v="85"/>
    <n v="196.20000000000002"/>
    <n v="14"/>
    <n v="3173.0714285714284"/>
    <n v="6476.7142857142853"/>
    <n v="1510.8571428571429"/>
    <x v="85"/>
    <n v="24821"/>
    <x v="0"/>
    <x v="2"/>
  </r>
  <r>
    <x v="86"/>
    <d v="2025-05-05T01:55:50"/>
    <x v="3"/>
    <n v="1009"/>
    <x v="3"/>
    <n v="9"/>
    <n v="249"/>
    <x v="0"/>
    <n v="97"/>
    <m/>
    <m/>
    <n v="0.08"/>
    <x v="8"/>
    <n v="7"/>
    <n v="0.02"/>
    <n v="32119"/>
    <n v="55646"/>
    <n v="19723"/>
    <x v="86"/>
    <n v="2061.7200000000003"/>
    <n v="9"/>
    <n v="3568.7777777777778"/>
    <n v="6182.8888888888887"/>
    <n v="2191.4444444444443"/>
    <x v="86"/>
    <n v="26022"/>
    <x v="0"/>
    <x v="0"/>
  </r>
  <r>
    <x v="87"/>
    <d v="2025-04-23T20:24:10"/>
    <x v="2"/>
    <n v="1018"/>
    <x v="1"/>
    <n v="7"/>
    <n v="520"/>
    <x v="1"/>
    <n v="323"/>
    <m/>
    <m/>
    <n v="0.1"/>
    <x v="6"/>
    <n v="7"/>
    <n v="0.04"/>
    <n v="44423"/>
    <n v="90674"/>
    <n v="21152"/>
    <x v="87"/>
    <n v="3276"/>
    <n v="14"/>
    <n v="3173.0714285714284"/>
    <n v="6476.7142857142853"/>
    <n v="1510.8571428571429"/>
    <x v="87"/>
    <n v="31997"/>
    <x v="0"/>
    <x v="1"/>
  </r>
  <r>
    <x v="88"/>
    <d v="2025-06-03T21:35:29"/>
    <x v="0"/>
    <n v="1007"/>
    <x v="2"/>
    <n v="9"/>
    <n v="854"/>
    <x v="0"/>
    <n v="463"/>
    <m/>
    <m/>
    <n v="0.23"/>
    <x v="7"/>
    <n v="1"/>
    <n v="0.02"/>
    <n v="20079"/>
    <n v="99954"/>
    <n v="15769"/>
    <x v="88"/>
    <n v="5918.22"/>
    <n v="7"/>
    <n v="2868.4285714285716"/>
    <n v="14279.142857142857"/>
    <n v="2252.7142857142858"/>
    <x v="88"/>
    <n v="29517"/>
    <x v="0"/>
    <x v="0"/>
  </r>
  <r>
    <x v="89"/>
    <d v="2025-04-05T18:47:22"/>
    <x v="2"/>
    <n v="1006"/>
    <x v="1"/>
    <n v="2"/>
    <n v="1035"/>
    <x v="1"/>
    <n v="323"/>
    <m/>
    <m/>
    <n v="0.1"/>
    <x v="6"/>
    <n v="8"/>
    <n v="0.04"/>
    <n v="44423"/>
    <n v="90674"/>
    <n v="21152"/>
    <x v="89"/>
    <n v="1863"/>
    <n v="14"/>
    <n v="3173.0714285714284"/>
    <n v="6476.7142857142853"/>
    <n v="1510.8571428571429"/>
    <x v="89"/>
    <n v="34295"/>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0095AB-94BC-4D45-895D-FAAEBFA3BBCF}" name="PivotTable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A34:B40" firstHeaderRow="1" firstDataRow="1" firstDataCol="1"/>
  <pivotFields count="31">
    <pivotField showAll="0"/>
    <pivotField numFmtId="165" showAll="0"/>
    <pivotField showAll="0"/>
    <pivotField showAll="0"/>
    <pivotField axis="axisRow" showAll="0" measureFilter="1">
      <items count="7">
        <item x="1"/>
        <item x="4"/>
        <item x="2"/>
        <item x="5"/>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5"/>
    </i>
    <i t="grand">
      <x/>
    </i>
  </rowItems>
  <colItems count="1">
    <i/>
  </colItems>
  <dataFields count="1">
    <dataField name="Sum of Revenue" fld="18"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80A8B6-F2BB-4912-913A-2C60396BB6C3}" name="PivotTable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ssification">
  <location ref="A16:B19" firstHeaderRow="1" firstDataRow="1" firstDataCol="1"/>
  <pivotFields count="31">
    <pivotField showAll="0"/>
    <pivotField numFmtId="165"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6"/>
  </rowFields>
  <rowItems count="3">
    <i>
      <x/>
    </i>
    <i>
      <x v="1"/>
    </i>
    <i t="grand">
      <x/>
    </i>
  </rowItems>
  <colItems count="1">
    <i/>
  </colItems>
  <dataFields count="1">
    <dataField name="Sum of CustomerI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4731FE-951F-4D07-9B3A-AF7EB624267A}" name="PivotTable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10:B14" firstHeaderRow="1" firstDataRow="1" firstDataCol="1"/>
  <pivotFields count="31">
    <pivotField showAll="0"/>
    <pivotField numFmtId="165"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default"/>
      </items>
    </pivotField>
    <pivotField showAll="0"/>
    <pivotField showAll="0"/>
    <pivotField axis="axisRow"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7"/>
  </rowFields>
  <rowItems count="4">
    <i>
      <x/>
    </i>
    <i>
      <x v="1"/>
    </i>
    <i>
      <x v="2"/>
    </i>
    <i t="grand">
      <x/>
    </i>
  </rowItems>
  <colItems count="1">
    <i/>
  </colItems>
  <dataFields count="1">
    <dataField name="Sum of Profit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16D43B7-56B9-4508-AE4B-D400622E1659}" name="PivotTable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A3:D8" firstHeaderRow="0" firstDataRow="1" firstDataCol="1"/>
  <pivotFields count="31">
    <pivotField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10">
        <item x="2"/>
        <item x="0"/>
        <item x="1"/>
        <item x="6"/>
        <item x="8"/>
        <item x="7"/>
        <item x="3"/>
        <item x="4"/>
        <item x="5"/>
        <item t="default"/>
      </items>
    </pivotField>
    <pivotField showAll="0"/>
    <pivotField showAll="0"/>
    <pivotField showAll="0"/>
    <pivotField showAll="0"/>
    <pivotField showAll="0"/>
    <pivotField dataField="1" showAll="0" defaultSubtotal="0">
      <items count="90">
        <item x="85"/>
        <item x="31"/>
        <item x="80"/>
        <item x="76"/>
        <item x="42"/>
        <item x="69"/>
        <item x="9"/>
        <item x="2"/>
        <item x="46"/>
        <item x="30"/>
        <item x="78"/>
        <item x="0"/>
        <item x="13"/>
        <item x="49"/>
        <item x="1"/>
        <item x="51"/>
        <item x="63"/>
        <item x="56"/>
        <item x="8"/>
        <item x="50"/>
        <item x="4"/>
        <item x="72"/>
        <item x="61"/>
        <item x="18"/>
        <item x="52"/>
        <item x="20"/>
        <item x="35"/>
        <item x="33"/>
        <item x="16"/>
        <item x="25"/>
        <item x="59"/>
        <item x="89"/>
        <item x="86"/>
        <item x="82"/>
        <item x="40"/>
        <item x="32"/>
        <item x="74"/>
        <item x="19"/>
        <item x="71"/>
        <item x="39"/>
        <item x="28"/>
        <item x="38"/>
        <item x="36"/>
        <item x="58"/>
        <item x="87"/>
        <item x="10"/>
        <item x="54"/>
        <item x="79"/>
        <item x="44"/>
        <item x="14"/>
        <item x="55"/>
        <item x="47"/>
        <item x="67"/>
        <item x="41"/>
        <item x="11"/>
        <item x="22"/>
        <item x="70"/>
        <item x="26"/>
        <item x="29"/>
        <item x="7"/>
        <item x="3"/>
        <item x="37"/>
        <item x="27"/>
        <item x="45"/>
        <item x="57"/>
        <item x="60"/>
        <item x="23"/>
        <item x="81"/>
        <item x="12"/>
        <item x="66"/>
        <item x="88"/>
        <item x="84"/>
        <item x="83"/>
        <item x="17"/>
        <item x="65"/>
        <item x="48"/>
        <item x="21"/>
        <item x="75"/>
        <item x="62"/>
        <item x="15"/>
        <item x="68"/>
        <item x="64"/>
        <item x="73"/>
        <item x="77"/>
        <item x="43"/>
        <item x="24"/>
        <item x="5"/>
        <item x="34"/>
        <item x="53"/>
        <item x="6"/>
      </items>
    </pivotField>
    <pivotField showAll="0"/>
    <pivotField showAll="0"/>
    <pivotField showAll="0"/>
    <pivotField showAll="0"/>
    <pivotField showAll="0"/>
    <pivotField dataField="1" showAll="0" sumSubtotal="1">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sum"/>
      </items>
    </pivotField>
    <pivotField showAll="0"/>
    <pivotField showAll="0"/>
    <pivotField showAll="0">
      <items count="4">
        <item x="1"/>
        <item x="0"/>
        <item x="2"/>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Profit " fld="24" baseField="0" baseItem="0"/>
    <dataField name="Sum of Revenue" fld="18" baseField="0" baseItem="0"/>
    <dataField name="ProfitMargin %" fld="28" baseField="2" baseItem="0"/>
  </dataFields>
  <chartFormats count="6">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DDAD4F1-54CE-44BD-AB04-FB200CF6612C}" name="PivotTable7"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A28:B32" firstHeaderRow="1" firstDataRow="1" firstDataCol="1"/>
  <pivotFields count="31">
    <pivotField showAll="0"/>
    <pivotField numFmtId="165"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default"/>
      </items>
    </pivotField>
    <pivotField showAll="0"/>
    <pivotField showAll="0"/>
    <pivotField axis="axisRow"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7"/>
  </rowFields>
  <rowItems count="4">
    <i>
      <x/>
    </i>
    <i>
      <x v="1"/>
    </i>
    <i>
      <x v="2"/>
    </i>
    <i t="grand">
      <x/>
    </i>
  </rowItems>
  <colItems count="1">
    <i/>
  </colItems>
  <dataFields count="1">
    <dataField name="Sum of Profit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9A4E61-1BB8-4353-8AAF-0017CAE0668C}" name="PivotTable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A21:B26" firstHeaderRow="1" firstDataRow="1" firstDataCol="1"/>
  <pivotFields count="31">
    <pivotField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DeliveryDays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2949A1C-103D-47F3-8C4C-7CA54A942C3E}" name="PivotTable14"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Region">
  <location ref="O22:P27" firstHeaderRow="1" firstDataRow="1" firstDataCol="1"/>
  <pivotFields count="31">
    <pivotField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Items count="1">
    <i/>
  </colItems>
  <dataFields count="1">
    <dataField name="Sum of DeliveryDays "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FA9D16E-BC87-4BE7-AF7D-915DBAC29332}" name="PivotTable13"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O29:P33" firstHeaderRow="1" firstDataRow="1" firstDataCol="1"/>
  <pivotFields count="31">
    <pivotField showAll="0"/>
    <pivotField numFmtId="165"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default"/>
      </items>
    </pivotField>
    <pivotField showAll="0"/>
    <pivotField showAll="0"/>
    <pivotField axis="axisRow"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7"/>
  </rowFields>
  <rowItems count="4">
    <i>
      <x/>
    </i>
    <i>
      <x v="1"/>
    </i>
    <i>
      <x v="2"/>
    </i>
    <i t="grand">
      <x/>
    </i>
  </rowItems>
  <colItems count="1">
    <i/>
  </colItems>
  <dataFields count="1">
    <dataField name="Sum of Profit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F6B238A-B52C-4FD6-B2E8-C473DB0487B7}" name="PivotTable12"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Region">
  <location ref="O4:R9" firstHeaderRow="0" firstDataRow="1" firstDataCol="1"/>
  <pivotFields count="31">
    <pivotField showAll="0"/>
    <pivotField numFmtId="165" showAll="0"/>
    <pivotField axis="axisRow" showAll="0">
      <items count="5">
        <item x="2"/>
        <item x="3"/>
        <item x="0"/>
        <item x="1"/>
        <item t="default"/>
      </items>
    </pivotField>
    <pivotField showAll="0"/>
    <pivotField showAll="0"/>
    <pivotField showAll="0"/>
    <pivotField showAll="0"/>
    <pivotField showAll="0"/>
    <pivotField showAll="0"/>
    <pivotField showAll="0"/>
    <pivotField showAll="0"/>
    <pivotField showAll="0"/>
    <pivotField showAll="0">
      <items count="10">
        <item x="2"/>
        <item x="0"/>
        <item x="1"/>
        <item x="6"/>
        <item x="8"/>
        <item x="7"/>
        <item x="3"/>
        <item x="4"/>
        <item x="5"/>
        <item t="default"/>
      </items>
    </pivotField>
    <pivotField showAll="0"/>
    <pivotField showAll="0"/>
    <pivotField showAll="0"/>
    <pivotField showAll="0"/>
    <pivotField showAll="0"/>
    <pivotField dataField="1" showAll="0" defaultSubtotal="0">
      <items count="90">
        <item x="85"/>
        <item x="31"/>
        <item x="80"/>
        <item x="76"/>
        <item x="42"/>
        <item x="69"/>
        <item x="9"/>
        <item x="2"/>
        <item x="46"/>
        <item x="30"/>
        <item x="78"/>
        <item x="0"/>
        <item x="13"/>
        <item x="49"/>
        <item x="1"/>
        <item x="51"/>
        <item x="63"/>
        <item x="56"/>
        <item x="8"/>
        <item x="50"/>
        <item x="4"/>
        <item x="72"/>
        <item x="61"/>
        <item x="18"/>
        <item x="52"/>
        <item x="20"/>
        <item x="35"/>
        <item x="33"/>
        <item x="16"/>
        <item x="25"/>
        <item x="59"/>
        <item x="89"/>
        <item x="86"/>
        <item x="82"/>
        <item x="40"/>
        <item x="32"/>
        <item x="74"/>
        <item x="19"/>
        <item x="71"/>
        <item x="39"/>
        <item x="28"/>
        <item x="38"/>
        <item x="36"/>
        <item x="58"/>
        <item x="87"/>
        <item x="10"/>
        <item x="54"/>
        <item x="79"/>
        <item x="44"/>
        <item x="14"/>
        <item x="55"/>
        <item x="47"/>
        <item x="67"/>
        <item x="41"/>
        <item x="11"/>
        <item x="22"/>
        <item x="70"/>
        <item x="26"/>
        <item x="29"/>
        <item x="7"/>
        <item x="3"/>
        <item x="37"/>
        <item x="27"/>
        <item x="45"/>
        <item x="57"/>
        <item x="60"/>
        <item x="23"/>
        <item x="81"/>
        <item x="12"/>
        <item x="66"/>
        <item x="88"/>
        <item x="84"/>
        <item x="83"/>
        <item x="17"/>
        <item x="65"/>
        <item x="48"/>
        <item x="21"/>
        <item x="75"/>
        <item x="62"/>
        <item x="15"/>
        <item x="68"/>
        <item x="64"/>
        <item x="73"/>
        <item x="77"/>
        <item x="43"/>
        <item x="24"/>
        <item x="5"/>
        <item x="34"/>
        <item x="53"/>
        <item x="6"/>
      </items>
    </pivotField>
    <pivotField showAll="0"/>
    <pivotField showAll="0"/>
    <pivotField showAll="0"/>
    <pivotField showAll="0"/>
    <pivotField showAll="0"/>
    <pivotField dataField="1" showAll="0" sumSubtotal="1">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sum"/>
      </items>
    </pivotField>
    <pivotField showAll="0"/>
    <pivotField showAll="0"/>
    <pivotField showAll="0">
      <items count="4">
        <item x="1"/>
        <item x="0"/>
        <item x="2"/>
        <item t="default"/>
      </items>
    </pivotField>
    <pivotField dataField="1" dragToRow="0" dragToCol="0" dragToPage="0" showAll="0" defaultSubtotal="0"/>
    <pivotField dragToRow="0" dragToCol="0" dragToPage="0" showAll="0" defaultSubtotal="0"/>
    <pivotField dragToRow="0" dragToCol="0" dragToPage="0" showAll="0" defaultSubtotal="0"/>
  </pivotFields>
  <rowFields count="1">
    <field x="2"/>
  </rowFields>
  <rowItems count="5">
    <i>
      <x/>
    </i>
    <i>
      <x v="1"/>
    </i>
    <i>
      <x v="2"/>
    </i>
    <i>
      <x v="3"/>
    </i>
    <i t="grand">
      <x/>
    </i>
  </rowItems>
  <colFields count="1">
    <field x="-2"/>
  </colFields>
  <colItems count="3">
    <i>
      <x/>
    </i>
    <i i="1">
      <x v="1"/>
    </i>
    <i i="2">
      <x v="2"/>
    </i>
  </colItems>
  <dataFields count="3">
    <dataField name="Sum of Profit " fld="24" baseField="0" baseItem="0"/>
    <dataField name="Sum of Revenue" fld="18" baseField="0" baseItem="0"/>
    <dataField name="ProfitMargin %" fld="28" baseField="2" baseItem="0"/>
  </dataFields>
  <chartFormats count="12">
    <chartFormat chart="5" format="0" series="1">
      <pivotArea type="data" outline="0" fieldPosition="0">
        <references count="1">
          <reference field="4294967294" count="1" selected="0">
            <x v="0"/>
          </reference>
        </references>
      </pivotArea>
    </chartFormat>
    <chartFormat chart="5" format="1" series="1">
      <pivotArea type="data" outline="0" fieldPosition="0">
        <references count="1">
          <reference field="4294967294" count="1" selected="0">
            <x v="1"/>
          </reference>
        </references>
      </pivotArea>
    </chartFormat>
    <chartFormat chart="5" format="2" series="1">
      <pivotArea type="data" outline="0" fieldPosition="0">
        <references count="1">
          <reference field="4294967294" count="1" selected="0">
            <x v="2"/>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series="1">
      <pivotArea type="data" outline="0" fieldPosition="0">
        <references count="1">
          <reference field="4294967294" count="1" selected="0">
            <x v="2"/>
          </reference>
        </references>
      </pivotArea>
    </chartFormat>
    <chartFormat chart="11" format="6" series="1">
      <pivotArea type="data" outline="0" fieldPosition="0">
        <references count="1">
          <reference field="4294967294" count="1" selected="0">
            <x v="0"/>
          </reference>
        </references>
      </pivotArea>
    </chartFormat>
    <chartFormat chart="11" format="7" series="1">
      <pivotArea type="data" outline="0" fieldPosition="0">
        <references count="1">
          <reference field="4294967294" count="1" selected="0">
            <x v="1"/>
          </reference>
        </references>
      </pivotArea>
    </chartFormat>
    <chartFormat chart="11" format="8" series="1">
      <pivotArea type="data" outline="0" fieldPosition="0">
        <references count="1">
          <reference field="4294967294" count="1" selected="0">
            <x v="2"/>
          </reference>
        </references>
      </pivotArea>
    </chartFormat>
    <chartFormat chart="13" format="12" series="1">
      <pivotArea type="data" outline="0" fieldPosition="0">
        <references count="1">
          <reference field="4294967294" count="1" selected="0">
            <x v="0"/>
          </reference>
        </references>
      </pivotArea>
    </chartFormat>
    <chartFormat chart="13" format="13" series="1">
      <pivotArea type="data" outline="0" fieldPosition="0">
        <references count="1">
          <reference field="4294967294" count="1" selected="0">
            <x v="1"/>
          </reference>
        </references>
      </pivotArea>
    </chartFormat>
    <chartFormat chart="13" format="14"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EA28894-495D-48F0-BA1E-A34532D02CA0}" name="PivotTable11"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ategory">
  <location ref="O11:P15" firstHeaderRow="1" firstDataRow="1" firstDataCol="1"/>
  <pivotFields count="31">
    <pivotField showAll="0"/>
    <pivotField numFmtId="165" showAll="0"/>
    <pivotField showAll="0"/>
    <pivotField showAll="0"/>
    <pivotField showAll="0"/>
    <pivotField showAll="0"/>
    <pivotField showAll="0"/>
    <pivotField showAll="0">
      <items count="4">
        <item x="1"/>
        <item x="0"/>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91">
        <item x="80"/>
        <item x="42"/>
        <item x="46"/>
        <item x="72"/>
        <item x="79"/>
        <item x="50"/>
        <item x="39"/>
        <item x="47"/>
        <item x="61"/>
        <item x="38"/>
        <item x="71"/>
        <item x="88"/>
        <item x="20"/>
        <item x="52"/>
        <item x="45"/>
        <item x="1"/>
        <item x="0"/>
        <item x="56"/>
        <item x="65"/>
        <item x="49"/>
        <item x="35"/>
        <item x="18"/>
        <item x="59"/>
        <item x="58"/>
        <item x="54"/>
        <item x="76"/>
        <item x="9"/>
        <item x="30"/>
        <item x="2"/>
        <item x="40"/>
        <item x="32"/>
        <item x="44"/>
        <item x="85"/>
        <item x="10"/>
        <item x="7"/>
        <item x="69"/>
        <item x="63"/>
        <item x="13"/>
        <item x="31"/>
        <item x="78"/>
        <item x="86"/>
        <item x="36"/>
        <item x="4"/>
        <item x="33"/>
        <item x="82"/>
        <item x="87"/>
        <item x="89"/>
        <item x="51"/>
        <item x="8"/>
        <item x="23"/>
        <item x="74"/>
        <item x="26"/>
        <item x="25"/>
        <item x="16"/>
        <item x="3"/>
        <item x="19"/>
        <item x="28"/>
        <item x="14"/>
        <item x="29"/>
        <item x="27"/>
        <item x="60"/>
        <item x="12"/>
        <item x="11"/>
        <item x="55"/>
        <item x="67"/>
        <item x="41"/>
        <item x="22"/>
        <item x="70"/>
        <item x="17"/>
        <item x="84"/>
        <item x="83"/>
        <item x="75"/>
        <item x="57"/>
        <item x="48"/>
        <item x="37"/>
        <item x="81"/>
        <item x="66"/>
        <item x="68"/>
        <item x="62"/>
        <item x="24"/>
        <item x="5"/>
        <item x="21"/>
        <item x="15"/>
        <item x="64"/>
        <item x="73"/>
        <item x="77"/>
        <item x="43"/>
        <item x="53"/>
        <item x="34"/>
        <item x="6"/>
        <item t="default"/>
      </items>
    </pivotField>
    <pivotField showAll="0"/>
    <pivotField showAll="0"/>
    <pivotField axis="axisRow"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7"/>
  </rowFields>
  <rowItems count="4">
    <i>
      <x/>
    </i>
    <i>
      <x v="1"/>
    </i>
    <i>
      <x v="2"/>
    </i>
    <i t="grand">
      <x/>
    </i>
  </rowItems>
  <colItems count="1">
    <i/>
  </colItems>
  <dataFields count="1">
    <dataField name="Sum of Profit " fld="2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59A9E08-3FA7-4620-B6F8-D7E327372063}" name="PivotTable10"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lassification">
  <location ref="O17:P20" firstHeaderRow="1" firstDataRow="1" firstDataCol="1"/>
  <pivotFields count="31">
    <pivotField showAll="0"/>
    <pivotField numFmtId="165"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items count="4">
        <item x="1"/>
        <item x="0"/>
        <item x="2"/>
        <item t="default"/>
      </items>
    </pivotField>
    <pivotField dragToRow="0" dragToCol="0" dragToPage="0" showAll="0" defaultSubtotal="0"/>
    <pivotField dragToRow="0" dragToCol="0" dragToPage="0" showAll="0" defaultSubtotal="0"/>
    <pivotField dragToRow="0" dragToCol="0" dragToPage="0" showAll="0" defaultSubtotal="0"/>
  </pivotFields>
  <rowFields count="1">
    <field x="26"/>
  </rowFields>
  <rowItems count="3">
    <i>
      <x/>
    </i>
    <i>
      <x v="1"/>
    </i>
    <i t="grand">
      <x/>
    </i>
  </rowItems>
  <colItems count="1">
    <i/>
  </colItems>
  <dataFields count="1">
    <dataField name="Sum of CustomerID"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A44EF7-F8AB-4069-A24D-24E54538976B}" name="PivotTable9"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Product">
  <location ref="O35:P41" firstHeaderRow="1" firstDataRow="1" firstDataCol="1"/>
  <pivotFields count="31">
    <pivotField showAll="0"/>
    <pivotField numFmtId="165" showAll="0"/>
    <pivotField showAll="0"/>
    <pivotField showAll="0"/>
    <pivotField axis="axisRow" showAll="0" measureFilter="1">
      <items count="7">
        <item x="1"/>
        <item x="4"/>
        <item x="2"/>
        <item x="5"/>
        <item x="3"/>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pivotField showAll="0"/>
    <pivotField dragToRow="0" dragToCol="0" dragToPage="0" showAll="0" defaultSubtotal="0"/>
    <pivotField dragToRow="0" dragToCol="0" dragToPage="0" showAll="0" defaultSubtotal="0"/>
    <pivotField dragToRow="0" dragToCol="0" dragToPage="0" showAll="0" defaultSubtotal="0"/>
  </pivotFields>
  <rowFields count="1">
    <field x="4"/>
  </rowFields>
  <rowItems count="6">
    <i>
      <x/>
    </i>
    <i>
      <x v="1"/>
    </i>
    <i>
      <x v="2"/>
    </i>
    <i>
      <x v="3"/>
    </i>
    <i>
      <x v="5"/>
    </i>
    <i t="grand">
      <x/>
    </i>
  </rowItems>
  <colItems count="1">
    <i/>
  </colItems>
  <dataFields count="1">
    <dataField name="Sum of Revenue" fld="18" baseField="0" baseItem="0"/>
  </dataField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6FF6656-1B0C-4A78-937A-4E253EA61202}" sourceName="Region">
  <pivotTables>
    <pivotTable tabId="11" name="PivotTable1"/>
  </pivotTables>
  <data>
    <tabular pivotCacheId="374603852">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Helper" xr10:uid="{D105F2AE-6BD2-42C8-B9A9-D469F78229E8}" sourceName="Month Helper">
  <pivotTables>
    <pivotTable tabId="11" name="PivotTable1"/>
  </pivotTables>
  <data>
    <tabular pivotCacheId="374603852">
      <items count="9">
        <i x="2" s="1"/>
        <i x="0" s="1"/>
        <i x="1" s="1"/>
        <i x="6" s="1"/>
        <i x="8" s="1"/>
        <i x="7"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6E3FA478-2512-4668-B2AF-E4B202B5CEBB}" sourceName="Region">
  <pivotTables>
    <pivotTable tabId="15" name="PivotTable12"/>
  </pivotTables>
  <data>
    <tabular pivotCacheId="374603852">
      <items count="4">
        <i x="2" s="1"/>
        <i x="3"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Helper1" xr10:uid="{F785E4BE-87DC-4EE1-B65F-D5A5E9F26E52}" sourceName="Month Helper">
  <pivotTables>
    <pivotTable tabId="15" name="PivotTable12"/>
  </pivotTables>
  <data>
    <tabular pivotCacheId="374603852">
      <items count="9">
        <i x="2" s="1"/>
        <i x="0" s="1"/>
        <i x="1" s="1"/>
        <i x="6" s="1"/>
        <i x="8" s="1"/>
        <i x="7" s="1"/>
        <i x="3"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FDB23F4B-2406-492E-9CA8-F5A61D20C74D}" cache="Slicer_Region" caption="Region" rowHeight="247650"/>
  <slicer name="Month Helper" xr10:uid="{2AF91234-7636-46C9-B4CE-993815AD981E}" cache="Slicer_Month_Helper" caption="Month Helpe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B75E791A-242E-41BD-8ACD-C110344DB139}" cache="Slicer_Region1" caption="Region" rowHeight="247650"/>
  <slicer name="Month Helper 1" xr10:uid="{FEA91D9B-ED3F-4336-9BF1-BB628F56DD3C}" cache="Slicer_Month_Helper1" caption="Month Helper"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9.xml"/><Relationship Id="rId7" Type="http://schemas.openxmlformats.org/officeDocument/2006/relationships/drawing" Target="../drawings/drawing3.xml"/><Relationship Id="rId2" Type="http://schemas.openxmlformats.org/officeDocument/2006/relationships/pivotTable" Target="../pivotTables/pivotTable8.xml"/><Relationship Id="rId1" Type="http://schemas.openxmlformats.org/officeDocument/2006/relationships/pivotTable" Target="../pivotTables/pivotTable7.xml"/><Relationship Id="rId6" Type="http://schemas.openxmlformats.org/officeDocument/2006/relationships/pivotTable" Target="../pivotTables/pivotTable12.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A6852-9C85-4456-9C0D-572DBE31EB81}">
  <sheetPr codeName="Sheet1"/>
  <dimension ref="A3:D40"/>
  <sheetViews>
    <sheetView topLeftCell="A4" workbookViewId="0">
      <selection activeCell="E24" sqref="E24"/>
    </sheetView>
  </sheetViews>
  <sheetFormatPr defaultRowHeight="14.4" x14ac:dyDescent="0.3"/>
  <cols>
    <col min="1" max="1" width="12.44140625" bestFit="1" customWidth="1"/>
    <col min="2" max="2" width="18.33203125" bestFit="1" customWidth="1"/>
    <col min="3" max="3" width="14.109375" bestFit="1" customWidth="1"/>
    <col min="4" max="4" width="13.109375" bestFit="1" customWidth="1"/>
    <col min="5" max="5" width="14.109375" bestFit="1" customWidth="1"/>
    <col min="6" max="13" width="12.6640625" bestFit="1" customWidth="1"/>
    <col min="14" max="14" width="8.6640625" bestFit="1" customWidth="1"/>
    <col min="15" max="16" width="12.6640625" bestFit="1" customWidth="1"/>
    <col min="17" max="18" width="8.6640625" bestFit="1" customWidth="1"/>
    <col min="19" max="22" width="12.6640625" bestFit="1" customWidth="1"/>
    <col min="23" max="23" width="8.6640625" bestFit="1" customWidth="1"/>
    <col min="24" max="27" width="12.6640625" bestFit="1" customWidth="1"/>
    <col min="28" max="28" width="8.6640625" bestFit="1" customWidth="1"/>
    <col min="29" max="29" width="12.6640625" bestFit="1" customWidth="1"/>
    <col min="30" max="30" width="8.6640625" bestFit="1" customWidth="1"/>
    <col min="31" max="34" width="12.6640625" bestFit="1" customWidth="1"/>
    <col min="35" max="36" width="8.6640625" bestFit="1" customWidth="1"/>
    <col min="37" max="38" width="12.6640625" bestFit="1" customWidth="1"/>
    <col min="39" max="39" width="8.6640625" bestFit="1" customWidth="1"/>
    <col min="40" max="43" width="12.6640625" bestFit="1" customWidth="1"/>
    <col min="44" max="44" width="8.6640625" bestFit="1" customWidth="1"/>
    <col min="45" max="49" width="12.6640625" bestFit="1" customWidth="1"/>
    <col min="50" max="51" width="7.6640625" bestFit="1" customWidth="1"/>
    <col min="52" max="52" width="12.6640625" bestFit="1" customWidth="1"/>
    <col min="53" max="61" width="7.6640625" bestFit="1" customWidth="1"/>
    <col min="62" max="62" width="12.6640625" bestFit="1" customWidth="1"/>
    <col min="63" max="64" width="7.6640625" bestFit="1" customWidth="1"/>
    <col min="65" max="67" width="12.6640625" bestFit="1" customWidth="1"/>
    <col min="68" max="68" width="7.6640625" bestFit="1" customWidth="1"/>
    <col min="69" max="69" width="12.6640625" bestFit="1" customWidth="1"/>
    <col min="70" max="70" width="7.6640625" bestFit="1" customWidth="1"/>
    <col min="71" max="80" width="12.6640625" bestFit="1" customWidth="1"/>
    <col min="81" max="84" width="7.6640625" bestFit="1" customWidth="1"/>
    <col min="85" max="89" width="12.6640625" bestFit="1" customWidth="1"/>
    <col min="90" max="90" width="12" bestFit="1" customWidth="1"/>
    <col min="91" max="91" width="7" bestFit="1" customWidth="1"/>
    <col min="92" max="92" width="10.5546875" bestFit="1" customWidth="1"/>
    <col min="93" max="103" width="21.6640625" bestFit="1" customWidth="1"/>
    <col min="104" max="104" width="12.33203125" bestFit="1" customWidth="1"/>
    <col min="105" max="106" width="21.6640625" bestFit="1" customWidth="1"/>
    <col min="107" max="108" width="12.33203125" bestFit="1" customWidth="1"/>
    <col min="109" max="112" width="21.6640625" bestFit="1" customWidth="1"/>
    <col min="113" max="113" width="12.33203125" bestFit="1" customWidth="1"/>
    <col min="114" max="117" width="21.6640625" bestFit="1" customWidth="1"/>
    <col min="118" max="118" width="12.33203125" bestFit="1" customWidth="1"/>
    <col min="119" max="119" width="21.6640625" bestFit="1" customWidth="1"/>
    <col min="120" max="120" width="12.33203125" bestFit="1" customWidth="1"/>
    <col min="121" max="124" width="21.6640625" bestFit="1" customWidth="1"/>
    <col min="125" max="126" width="12.33203125" bestFit="1" customWidth="1"/>
    <col min="127" max="128" width="21.6640625" bestFit="1" customWidth="1"/>
    <col min="129" max="129" width="12.33203125" bestFit="1" customWidth="1"/>
    <col min="130" max="133" width="21.6640625" bestFit="1" customWidth="1"/>
    <col min="134" max="134" width="12.33203125" bestFit="1" customWidth="1"/>
    <col min="135" max="139" width="21.6640625" bestFit="1" customWidth="1"/>
    <col min="140" max="141" width="11.33203125" bestFit="1" customWidth="1"/>
    <col min="142" max="142" width="21.6640625" bestFit="1" customWidth="1"/>
    <col min="143" max="151" width="11.33203125" bestFit="1" customWidth="1"/>
    <col min="152" max="152" width="21.6640625" bestFit="1" customWidth="1"/>
    <col min="153" max="154" width="11.33203125" bestFit="1" customWidth="1"/>
    <col min="155" max="157" width="21.6640625" bestFit="1" customWidth="1"/>
    <col min="158" max="158" width="11.33203125" bestFit="1" customWidth="1"/>
    <col min="159" max="159" width="21.6640625" bestFit="1" customWidth="1"/>
    <col min="160" max="160" width="11.33203125" bestFit="1" customWidth="1"/>
    <col min="161" max="170" width="21.6640625" bestFit="1" customWidth="1"/>
    <col min="171" max="174" width="11.33203125" bestFit="1" customWidth="1"/>
    <col min="175" max="179" width="21.6640625" bestFit="1" customWidth="1"/>
    <col min="180" max="180" width="20.88671875" bestFit="1" customWidth="1"/>
    <col min="181" max="181" width="10.6640625" bestFit="1" customWidth="1"/>
    <col min="182" max="182" width="10.5546875" bestFit="1" customWidth="1"/>
    <col min="183" max="193" width="21.6640625" bestFit="1" customWidth="1"/>
    <col min="194" max="194" width="12.33203125" bestFit="1" customWidth="1"/>
    <col min="195" max="196" width="21.6640625" bestFit="1" customWidth="1"/>
    <col min="197" max="198" width="12.33203125" bestFit="1" customWidth="1"/>
    <col min="199" max="202" width="21.6640625" bestFit="1" customWidth="1"/>
    <col min="203" max="203" width="12.33203125" bestFit="1" customWidth="1"/>
    <col min="204" max="207" width="21.6640625" bestFit="1" customWidth="1"/>
    <col min="208" max="208" width="12.33203125" bestFit="1" customWidth="1"/>
    <col min="209" max="209" width="21.6640625" bestFit="1" customWidth="1"/>
    <col min="210" max="210" width="12.33203125" bestFit="1" customWidth="1"/>
    <col min="211" max="214" width="21.6640625" bestFit="1" customWidth="1"/>
    <col min="215" max="216" width="12.33203125" bestFit="1" customWidth="1"/>
    <col min="217" max="218" width="21.6640625" bestFit="1" customWidth="1"/>
    <col min="219" max="219" width="12.33203125" bestFit="1" customWidth="1"/>
    <col min="220" max="223" width="21.6640625" bestFit="1" customWidth="1"/>
    <col min="224" max="224" width="12.33203125" bestFit="1" customWidth="1"/>
    <col min="225" max="229" width="21.6640625" bestFit="1" customWidth="1"/>
    <col min="230" max="231" width="11.33203125" bestFit="1" customWidth="1"/>
    <col min="232" max="232" width="21.6640625" bestFit="1" customWidth="1"/>
    <col min="233" max="241" width="11.33203125" bestFit="1" customWidth="1"/>
    <col min="242" max="242" width="21.6640625" bestFit="1" customWidth="1"/>
    <col min="243" max="244" width="11.33203125" bestFit="1" customWidth="1"/>
    <col min="245" max="247" width="21.6640625" bestFit="1" customWidth="1"/>
    <col min="248" max="248" width="11.33203125" bestFit="1" customWidth="1"/>
    <col min="249" max="249" width="21.6640625" bestFit="1" customWidth="1"/>
    <col min="250" max="250" width="11.33203125" bestFit="1" customWidth="1"/>
    <col min="251" max="260" width="21.6640625" bestFit="1" customWidth="1"/>
    <col min="261" max="264" width="11.33203125" bestFit="1" customWidth="1"/>
    <col min="265" max="269" width="21.6640625" bestFit="1" customWidth="1"/>
    <col min="270" max="270" width="20.88671875" bestFit="1" customWidth="1"/>
    <col min="271" max="271" width="10.6640625" bestFit="1" customWidth="1"/>
    <col min="272" max="272" width="10.5546875" bestFit="1" customWidth="1"/>
  </cols>
  <sheetData>
    <row r="3" spans="1:4" x14ac:dyDescent="0.3">
      <c r="A3" s="9" t="s">
        <v>44</v>
      </c>
      <c r="B3" t="s">
        <v>184</v>
      </c>
      <c r="C3" t="s">
        <v>185</v>
      </c>
      <c r="D3" t="s">
        <v>190</v>
      </c>
    </row>
    <row r="4" spans="1:4" x14ac:dyDescent="0.3">
      <c r="A4" s="10" t="s">
        <v>1</v>
      </c>
      <c r="B4" s="11">
        <v>-216983.56075036083</v>
      </c>
      <c r="C4" s="11">
        <v>104142</v>
      </c>
      <c r="D4" s="11">
        <v>-2.0835355644251199</v>
      </c>
    </row>
    <row r="5" spans="1:4" x14ac:dyDescent="0.3">
      <c r="A5" s="10" t="s">
        <v>9</v>
      </c>
      <c r="B5" s="11">
        <v>-209380.31774891779</v>
      </c>
      <c r="C5" s="11">
        <v>87013</v>
      </c>
      <c r="D5" s="11">
        <v>-2.4063107552770022</v>
      </c>
    </row>
    <row r="6" spans="1:4" x14ac:dyDescent="0.3">
      <c r="A6" s="10" t="s">
        <v>11</v>
      </c>
      <c r="B6" s="11">
        <v>-221336.08455988459</v>
      </c>
      <c r="C6" s="11">
        <v>124308</v>
      </c>
      <c r="D6" s="11">
        <v>-1.780545777905562</v>
      </c>
    </row>
    <row r="7" spans="1:4" x14ac:dyDescent="0.3">
      <c r="A7" s="10" t="s">
        <v>4</v>
      </c>
      <c r="B7" s="11">
        <v>-227022.03694083702</v>
      </c>
      <c r="C7" s="11">
        <v>125799</v>
      </c>
      <c r="D7" s="11">
        <v>-1.8046410300625364</v>
      </c>
    </row>
    <row r="8" spans="1:4" x14ac:dyDescent="0.3">
      <c r="A8" s="10" t="s">
        <v>183</v>
      </c>
      <c r="B8" s="11">
        <v>-874722.00000000023</v>
      </c>
      <c r="C8" s="11">
        <v>441262</v>
      </c>
      <c r="D8" s="11">
        <v>-1.9823188944436638</v>
      </c>
    </row>
    <row r="10" spans="1:4" x14ac:dyDescent="0.3">
      <c r="A10" s="9" t="s">
        <v>107</v>
      </c>
      <c r="B10" t="s">
        <v>184</v>
      </c>
    </row>
    <row r="11" spans="1:4" x14ac:dyDescent="0.3">
      <c r="A11" s="10" t="s">
        <v>112</v>
      </c>
      <c r="B11">
        <v>-151551.52683982684</v>
      </c>
    </row>
    <row r="12" spans="1:4" x14ac:dyDescent="0.3">
      <c r="A12" s="10" t="s">
        <v>111</v>
      </c>
      <c r="B12">
        <v>-576724.18268398277</v>
      </c>
    </row>
    <row r="13" spans="1:4" x14ac:dyDescent="0.3">
      <c r="A13" s="10" t="s">
        <v>110</v>
      </c>
      <c r="B13">
        <v>-146446.29047619048</v>
      </c>
    </row>
    <row r="14" spans="1:4" x14ac:dyDescent="0.3">
      <c r="A14" s="10" t="s">
        <v>183</v>
      </c>
      <c r="B14">
        <v>-874722.00000000012</v>
      </c>
    </row>
    <row r="16" spans="1:4" x14ac:dyDescent="0.3">
      <c r="A16" s="9" t="s">
        <v>180</v>
      </c>
      <c r="B16" t="s">
        <v>188</v>
      </c>
    </row>
    <row r="17" spans="1:2" x14ac:dyDescent="0.3">
      <c r="A17" s="10" t="s">
        <v>186</v>
      </c>
      <c r="B17">
        <v>21181</v>
      </c>
    </row>
    <row r="18" spans="1:2" x14ac:dyDescent="0.3">
      <c r="A18" s="10" t="s">
        <v>187</v>
      </c>
      <c r="B18">
        <v>69745</v>
      </c>
    </row>
    <row r="19" spans="1:2" x14ac:dyDescent="0.3">
      <c r="A19" s="10" t="s">
        <v>183</v>
      </c>
      <c r="B19">
        <v>90926</v>
      </c>
    </row>
    <row r="21" spans="1:2" x14ac:dyDescent="0.3">
      <c r="A21" s="9" t="s">
        <v>44</v>
      </c>
      <c r="B21" t="s">
        <v>189</v>
      </c>
    </row>
    <row r="22" spans="1:2" x14ac:dyDescent="0.3">
      <c r="A22" s="10" t="s">
        <v>1</v>
      </c>
      <c r="B22">
        <v>92</v>
      </c>
    </row>
    <row r="23" spans="1:2" x14ac:dyDescent="0.3">
      <c r="A23" s="10" t="s">
        <v>9</v>
      </c>
      <c r="B23">
        <v>101</v>
      </c>
    </row>
    <row r="24" spans="1:2" x14ac:dyDescent="0.3">
      <c r="A24" s="10" t="s">
        <v>11</v>
      </c>
      <c r="B24">
        <v>125</v>
      </c>
    </row>
    <row r="25" spans="1:2" x14ac:dyDescent="0.3">
      <c r="A25" s="10" t="s">
        <v>4</v>
      </c>
      <c r="B25">
        <v>122</v>
      </c>
    </row>
    <row r="26" spans="1:2" x14ac:dyDescent="0.3">
      <c r="A26" s="10" t="s">
        <v>183</v>
      </c>
      <c r="B26">
        <v>440</v>
      </c>
    </row>
    <row r="28" spans="1:2" x14ac:dyDescent="0.3">
      <c r="A28" s="9" t="s">
        <v>107</v>
      </c>
      <c r="B28" t="s">
        <v>184</v>
      </c>
    </row>
    <row r="29" spans="1:2" x14ac:dyDescent="0.3">
      <c r="A29" s="10" t="s">
        <v>112</v>
      </c>
      <c r="B29">
        <v>-151551.52683982684</v>
      </c>
    </row>
    <row r="30" spans="1:2" x14ac:dyDescent="0.3">
      <c r="A30" s="10" t="s">
        <v>111</v>
      </c>
      <c r="B30">
        <v>-576724.18268398277</v>
      </c>
    </row>
    <row r="31" spans="1:2" x14ac:dyDescent="0.3">
      <c r="A31" s="10" t="s">
        <v>110</v>
      </c>
      <c r="B31">
        <v>-146446.29047619048</v>
      </c>
    </row>
    <row r="32" spans="1:2" x14ac:dyDescent="0.3">
      <c r="A32" s="10" t="s">
        <v>183</v>
      </c>
      <c r="B32">
        <v>-874722.00000000012</v>
      </c>
    </row>
    <row r="34" spans="1:2" x14ac:dyDescent="0.3">
      <c r="A34" s="9" t="s">
        <v>42</v>
      </c>
      <c r="B34" t="s">
        <v>185</v>
      </c>
    </row>
    <row r="35" spans="1:2" x14ac:dyDescent="0.3">
      <c r="A35" s="10" t="s">
        <v>8</v>
      </c>
      <c r="B35" s="11">
        <v>92783</v>
      </c>
    </row>
    <row r="36" spans="1:2" x14ac:dyDescent="0.3">
      <c r="A36" s="10" t="s">
        <v>14</v>
      </c>
      <c r="B36" s="11">
        <v>100036</v>
      </c>
    </row>
    <row r="37" spans="1:2" x14ac:dyDescent="0.3">
      <c r="A37" s="10" t="s">
        <v>0</v>
      </c>
      <c r="B37" s="11">
        <v>100690</v>
      </c>
    </row>
    <row r="38" spans="1:2" x14ac:dyDescent="0.3">
      <c r="A38" s="10" t="s">
        <v>3</v>
      </c>
      <c r="B38" s="11">
        <v>49991</v>
      </c>
    </row>
    <row r="39" spans="1:2" x14ac:dyDescent="0.3">
      <c r="A39" s="10" t="s">
        <v>31</v>
      </c>
      <c r="B39" s="11">
        <v>60019</v>
      </c>
    </row>
    <row r="40" spans="1:2" x14ac:dyDescent="0.3">
      <c r="A40" s="10" t="s">
        <v>183</v>
      </c>
      <c r="B40" s="11">
        <v>403519</v>
      </c>
    </row>
  </sheetData>
  <conditionalFormatting sqref="A11:A13">
    <cfRule type="cellIs" dxfId="8" priority="2" operator="lessThan">
      <formula>0</formula>
    </cfRule>
  </conditionalFormatting>
  <conditionalFormatting sqref="A29:A31">
    <cfRule type="cellIs" dxfId="7" priority="1" operator="lessThan">
      <formula>0</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05400-2D59-4205-925A-7792DEF4D21B}">
  <sheetPr codeName="Sheet2"/>
  <dimension ref="A1"/>
  <sheetViews>
    <sheetView zoomScale="80" zoomScaleNormal="80" workbookViewId="0">
      <selection sqref="A1:XFD1048576"/>
    </sheetView>
  </sheetViews>
  <sheetFormatPr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7309C-687F-40A6-8CCE-759B12370C78}">
  <sheetPr codeName="Sheet3"/>
  <dimension ref="A1:S41"/>
  <sheetViews>
    <sheetView zoomScale="60" zoomScaleNormal="60" workbookViewId="0">
      <selection sqref="A1:XFD1048576"/>
    </sheetView>
  </sheetViews>
  <sheetFormatPr defaultRowHeight="14.4" x14ac:dyDescent="0.3"/>
  <cols>
    <col min="1" max="1" width="18.109375" bestFit="1" customWidth="1"/>
    <col min="2" max="2" width="14.33203125" bestFit="1" customWidth="1"/>
    <col min="3" max="3" width="17.6640625" bestFit="1" customWidth="1"/>
    <col min="4" max="4" width="24.77734375" bestFit="1" customWidth="1"/>
    <col min="15" max="15" width="17.33203125" bestFit="1" customWidth="1"/>
    <col min="16" max="16" width="26.5546875" bestFit="1" customWidth="1"/>
    <col min="17" max="17" width="20.6640625" bestFit="1" customWidth="1"/>
    <col min="18" max="18" width="18.77734375" bestFit="1" customWidth="1"/>
  </cols>
  <sheetData>
    <row r="1" spans="1:19" ht="93.6" x14ac:dyDescent="1.75">
      <c r="G1" s="14" t="str" cm="1">
        <f t="array" ref="G1" xml:space="preserve"> "Dashboard for " &amp; IF(PivortTables!B1="", "All Regions", RegionSlicerCell)</f>
        <v>Dashboard for All Regions</v>
      </c>
      <c r="H1" s="14"/>
      <c r="I1" s="14"/>
      <c r="J1" s="14"/>
      <c r="K1" s="14"/>
      <c r="L1" s="14"/>
      <c r="M1" s="14"/>
      <c r="N1" s="14"/>
      <c r="O1" s="14"/>
      <c r="P1" s="14"/>
      <c r="Q1" s="14"/>
      <c r="R1" s="14"/>
      <c r="S1" s="14"/>
    </row>
    <row r="2" spans="1:19" x14ac:dyDescent="0.3">
      <c r="A2" s="13" t="s">
        <v>191</v>
      </c>
      <c r="B2" s="13" t="s">
        <v>192</v>
      </c>
      <c r="C2" s="13" t="s">
        <v>193</v>
      </c>
      <c r="D2" s="13" t="s">
        <v>194</v>
      </c>
    </row>
    <row r="3" spans="1:19" x14ac:dyDescent="0.3">
      <c r="A3" s="12">
        <f>SUM(Sales_All!S:S)</f>
        <v>441262</v>
      </c>
      <c r="B3" s="12">
        <f>SUM(Sales_All!Y:Y)</f>
        <v>-874721.99999999977</v>
      </c>
      <c r="C3" s="12">
        <f>INDEX(Sales_All!D:D, MATCH(MAX(Sales_All!Z:Z), Sales_All!Z:Z, 0))</f>
        <v>1017</v>
      </c>
      <c r="D3" s="12">
        <f>COUNTIF(Sales_All!N:N,"&lt;=3") / COUNTA(Sales_All!N:N)</f>
        <v>0.30769230769230771</v>
      </c>
    </row>
    <row r="4" spans="1:19" x14ac:dyDescent="0.3">
      <c r="O4" s="9" t="s">
        <v>44</v>
      </c>
      <c r="P4" s="9" t="s">
        <v>184</v>
      </c>
      <c r="Q4" t="s">
        <v>185</v>
      </c>
      <c r="R4" t="s">
        <v>190</v>
      </c>
    </row>
    <row r="5" spans="1:19" x14ac:dyDescent="0.3">
      <c r="O5" s="10" t="s">
        <v>1</v>
      </c>
      <c r="P5" s="11">
        <v>-216983.56075036083</v>
      </c>
      <c r="Q5" s="11">
        <v>104142</v>
      </c>
      <c r="R5" s="11">
        <v>-2.0835355644251199</v>
      </c>
    </row>
    <row r="6" spans="1:19" x14ac:dyDescent="0.3">
      <c r="O6" s="10" t="s">
        <v>9</v>
      </c>
      <c r="P6" s="11">
        <v>-209380.31774891779</v>
      </c>
      <c r="Q6" s="11">
        <v>87013</v>
      </c>
      <c r="R6" s="11">
        <v>-2.4063107552770022</v>
      </c>
    </row>
    <row r="7" spans="1:19" x14ac:dyDescent="0.3">
      <c r="O7" s="10" t="s">
        <v>11</v>
      </c>
      <c r="P7" s="11">
        <v>-221336.08455988459</v>
      </c>
      <c r="Q7" s="11">
        <v>124308</v>
      </c>
      <c r="R7" s="11">
        <v>-1.780545777905562</v>
      </c>
    </row>
    <row r="8" spans="1:19" x14ac:dyDescent="0.3">
      <c r="O8" s="10" t="s">
        <v>4</v>
      </c>
      <c r="P8" s="11">
        <v>-227022.03694083702</v>
      </c>
      <c r="Q8" s="11">
        <v>125799</v>
      </c>
      <c r="R8" s="11">
        <v>-1.8046410300625364</v>
      </c>
    </row>
    <row r="9" spans="1:19" x14ac:dyDescent="0.3">
      <c r="O9" s="10" t="s">
        <v>183</v>
      </c>
      <c r="P9" s="11">
        <v>-874722.00000000023</v>
      </c>
      <c r="Q9" s="11">
        <v>441262</v>
      </c>
      <c r="R9" s="11">
        <v>-1.9823188944436638</v>
      </c>
    </row>
    <row r="11" spans="1:19" x14ac:dyDescent="0.3">
      <c r="O11" s="9" t="s">
        <v>107</v>
      </c>
      <c r="P11" t="s">
        <v>184</v>
      </c>
    </row>
    <row r="12" spans="1:19" x14ac:dyDescent="0.3">
      <c r="O12" s="10" t="s">
        <v>112</v>
      </c>
      <c r="P12">
        <v>-151551.52683982684</v>
      </c>
    </row>
    <row r="13" spans="1:19" x14ac:dyDescent="0.3">
      <c r="O13" s="10" t="s">
        <v>111</v>
      </c>
      <c r="P13">
        <v>-576724.18268398277</v>
      </c>
    </row>
    <row r="14" spans="1:19" x14ac:dyDescent="0.3">
      <c r="O14" s="10" t="s">
        <v>110</v>
      </c>
      <c r="P14">
        <v>-146446.29047619048</v>
      </c>
    </row>
    <row r="15" spans="1:19" x14ac:dyDescent="0.3">
      <c r="O15" s="10" t="s">
        <v>183</v>
      </c>
      <c r="P15">
        <v>-874722.00000000012</v>
      </c>
    </row>
    <row r="17" spans="15:16" x14ac:dyDescent="0.3">
      <c r="O17" s="9" t="s">
        <v>180</v>
      </c>
      <c r="P17" t="s">
        <v>188</v>
      </c>
    </row>
    <row r="18" spans="15:16" x14ac:dyDescent="0.3">
      <c r="O18" s="10" t="s">
        <v>186</v>
      </c>
      <c r="P18">
        <v>21181</v>
      </c>
    </row>
    <row r="19" spans="15:16" x14ac:dyDescent="0.3">
      <c r="O19" s="10" t="s">
        <v>187</v>
      </c>
      <c r="P19">
        <v>69745</v>
      </c>
    </row>
    <row r="20" spans="15:16" x14ac:dyDescent="0.3">
      <c r="O20" s="10" t="s">
        <v>183</v>
      </c>
      <c r="P20">
        <v>90926</v>
      </c>
    </row>
    <row r="22" spans="15:16" x14ac:dyDescent="0.3">
      <c r="O22" s="9" t="s">
        <v>44</v>
      </c>
      <c r="P22" t="s">
        <v>189</v>
      </c>
    </row>
    <row r="23" spans="15:16" x14ac:dyDescent="0.3">
      <c r="O23" s="10" t="s">
        <v>1</v>
      </c>
      <c r="P23">
        <v>92</v>
      </c>
    </row>
    <row r="24" spans="15:16" x14ac:dyDescent="0.3">
      <c r="O24" s="10" t="s">
        <v>9</v>
      </c>
      <c r="P24">
        <v>101</v>
      </c>
    </row>
    <row r="25" spans="15:16" x14ac:dyDescent="0.3">
      <c r="O25" s="10" t="s">
        <v>11</v>
      </c>
      <c r="P25">
        <v>125</v>
      </c>
    </row>
    <row r="26" spans="15:16" x14ac:dyDescent="0.3">
      <c r="O26" s="10" t="s">
        <v>4</v>
      </c>
      <c r="P26">
        <v>122</v>
      </c>
    </row>
    <row r="27" spans="15:16" x14ac:dyDescent="0.3">
      <c r="O27" s="10" t="s">
        <v>183</v>
      </c>
      <c r="P27">
        <v>440</v>
      </c>
    </row>
    <row r="29" spans="15:16" x14ac:dyDescent="0.3">
      <c r="O29" s="9" t="s">
        <v>107</v>
      </c>
      <c r="P29" t="s">
        <v>184</v>
      </c>
    </row>
    <row r="30" spans="15:16" x14ac:dyDescent="0.3">
      <c r="O30" s="10" t="s">
        <v>112</v>
      </c>
      <c r="P30">
        <v>-151551.52683982684</v>
      </c>
    </row>
    <row r="31" spans="15:16" x14ac:dyDescent="0.3">
      <c r="O31" s="10" t="s">
        <v>111</v>
      </c>
      <c r="P31">
        <v>-576724.18268398277</v>
      </c>
    </row>
    <row r="32" spans="15:16" x14ac:dyDescent="0.3">
      <c r="O32" s="10" t="s">
        <v>110</v>
      </c>
      <c r="P32">
        <v>-146446.29047619048</v>
      </c>
    </row>
    <row r="33" spans="15:16" x14ac:dyDescent="0.3">
      <c r="O33" s="10" t="s">
        <v>183</v>
      </c>
      <c r="P33">
        <v>-874722.00000000012</v>
      </c>
    </row>
    <row r="35" spans="15:16" x14ac:dyDescent="0.3">
      <c r="O35" s="9" t="s">
        <v>42</v>
      </c>
      <c r="P35" t="s">
        <v>185</v>
      </c>
    </row>
    <row r="36" spans="15:16" x14ac:dyDescent="0.3">
      <c r="O36" s="10" t="s">
        <v>8</v>
      </c>
      <c r="P36" s="11">
        <v>92783</v>
      </c>
    </row>
    <row r="37" spans="15:16" x14ac:dyDescent="0.3">
      <c r="O37" s="10" t="s">
        <v>14</v>
      </c>
      <c r="P37" s="11">
        <v>100036</v>
      </c>
    </row>
    <row r="38" spans="15:16" x14ac:dyDescent="0.3">
      <c r="O38" s="10" t="s">
        <v>0</v>
      </c>
      <c r="P38" s="11">
        <v>100690</v>
      </c>
    </row>
    <row r="39" spans="15:16" x14ac:dyDescent="0.3">
      <c r="O39" s="10" t="s">
        <v>3</v>
      </c>
      <c r="P39" s="11">
        <v>49991</v>
      </c>
    </row>
    <row r="40" spans="15:16" x14ac:dyDescent="0.3">
      <c r="O40" s="10" t="s">
        <v>31</v>
      </c>
      <c r="P40" s="11">
        <v>60019</v>
      </c>
    </row>
    <row r="41" spans="15:16" x14ac:dyDescent="0.3">
      <c r="O41" s="10" t="s">
        <v>183</v>
      </c>
      <c r="P41" s="11">
        <v>403519</v>
      </c>
    </row>
  </sheetData>
  <mergeCells count="1">
    <mergeCell ref="G1:S1"/>
  </mergeCells>
  <conditionalFormatting sqref="O12:O14">
    <cfRule type="cellIs" dxfId="6" priority="2" operator="lessThan">
      <formula>0</formula>
    </cfRule>
  </conditionalFormatting>
  <conditionalFormatting sqref="O30:O32">
    <cfRule type="cellIs" dxfId="5" priority="1" operator="lessThan">
      <formula>0</formula>
    </cfRule>
  </conditionalFormatting>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C32BD4-7E72-4217-8C04-209AE2C0EFF2}">
  <sheetPr codeName="Sheet4"/>
  <dimension ref="A1:AB91"/>
  <sheetViews>
    <sheetView zoomScale="47" zoomScaleNormal="47" workbookViewId="0">
      <selection sqref="A1:XFD1048576"/>
    </sheetView>
  </sheetViews>
  <sheetFormatPr defaultRowHeight="14.4" x14ac:dyDescent="0.3"/>
  <cols>
    <col min="1" max="1" width="11.21875" bestFit="1" customWidth="1"/>
    <col min="2" max="2" width="12.44140625" style="4" bestFit="1" customWidth="1"/>
    <col min="3" max="3" width="10.5546875" style="8" bestFit="1" customWidth="1"/>
    <col min="4" max="4" width="16.6640625" bestFit="1" customWidth="1"/>
    <col min="5" max="5" width="14.109375" style="8" bestFit="1" customWidth="1"/>
    <col min="6" max="6" width="11.88671875" bestFit="1" customWidth="1"/>
    <col min="7" max="7" width="13.109375" bestFit="1" customWidth="1"/>
    <col min="8" max="8" width="14.109375" style="8" bestFit="1" customWidth="1"/>
    <col min="9" max="9" width="12.6640625" bestFit="1" customWidth="1"/>
    <col min="10" max="11" width="12.6640625" customWidth="1"/>
    <col min="12" max="12" width="12.88671875" bestFit="1" customWidth="1"/>
    <col min="13" max="14" width="18.5546875" bestFit="1" customWidth="1"/>
    <col min="15" max="15" width="16.44140625" bestFit="1" customWidth="1"/>
    <col min="16" max="16" width="24" bestFit="1" customWidth="1"/>
    <col min="17" max="17" width="19.77734375" bestFit="1" customWidth="1"/>
    <col min="18" max="18" width="19" bestFit="1" customWidth="1"/>
    <col min="19" max="19" width="12.44140625" bestFit="1" customWidth="1"/>
    <col min="20" max="20" width="27.5546875" bestFit="1" customWidth="1"/>
    <col min="21" max="21" width="35.109375" bestFit="1" customWidth="1"/>
    <col min="22" max="22" width="26.33203125" bestFit="1" customWidth="1"/>
    <col min="23" max="23" width="22.109375" bestFit="1" customWidth="1"/>
    <col min="24" max="24" width="21.33203125" bestFit="1" customWidth="1"/>
    <col min="25" max="25" width="15.21875" bestFit="1" customWidth="1"/>
    <col min="26" max="26" width="35.33203125" bestFit="1" customWidth="1"/>
    <col min="27" max="27" width="19" bestFit="1" customWidth="1"/>
    <col min="28" max="28" width="14.109375" style="8" bestFit="1" customWidth="1"/>
  </cols>
  <sheetData>
    <row r="1" spans="1:28" x14ac:dyDescent="0.3">
      <c r="A1" s="2" t="s">
        <v>46</v>
      </c>
      <c r="B1" s="3" t="s">
        <v>45</v>
      </c>
      <c r="C1" s="7" t="s">
        <v>44</v>
      </c>
      <c r="D1" s="2" t="s">
        <v>43</v>
      </c>
      <c r="E1" s="7" t="s">
        <v>42</v>
      </c>
      <c r="F1" s="2" t="s">
        <v>41</v>
      </c>
      <c r="G1" s="2" t="s">
        <v>40</v>
      </c>
      <c r="H1" s="7" t="s">
        <v>107</v>
      </c>
      <c r="I1" s="2" t="s">
        <v>108</v>
      </c>
      <c r="J1" s="2"/>
      <c r="K1" s="2"/>
      <c r="L1" s="2" t="s">
        <v>109</v>
      </c>
      <c r="M1" s="2" t="s">
        <v>168</v>
      </c>
      <c r="N1" s="2" t="s">
        <v>166</v>
      </c>
      <c r="O1" s="2" t="s">
        <v>167</v>
      </c>
      <c r="P1" s="2" t="s">
        <v>169</v>
      </c>
      <c r="Q1" s="2" t="s">
        <v>170</v>
      </c>
      <c r="R1" s="2" t="s">
        <v>171</v>
      </c>
      <c r="S1" s="2" t="s">
        <v>172</v>
      </c>
      <c r="T1" s="2" t="s">
        <v>173</v>
      </c>
      <c r="U1" s="2" t="s">
        <v>177</v>
      </c>
      <c r="V1" s="2" t="s">
        <v>176</v>
      </c>
      <c r="W1" s="2" t="s">
        <v>175</v>
      </c>
      <c r="X1" s="2" t="s">
        <v>174</v>
      </c>
      <c r="Y1" s="2" t="s">
        <v>178</v>
      </c>
      <c r="Z1" s="2" t="s">
        <v>179</v>
      </c>
      <c r="AA1" s="2" t="s">
        <v>180</v>
      </c>
      <c r="AB1" s="7" t="s">
        <v>181</v>
      </c>
    </row>
    <row r="2" spans="1:28" x14ac:dyDescent="0.3">
      <c r="A2" t="s">
        <v>39</v>
      </c>
      <c r="B2" s="4">
        <v>45708.027094907397</v>
      </c>
      <c r="C2" s="8" t="s">
        <v>11</v>
      </c>
      <c r="D2">
        <v>1018</v>
      </c>
      <c r="E2" s="8" t="s">
        <v>31</v>
      </c>
      <c r="F2">
        <v>1</v>
      </c>
      <c r="G2">
        <v>730</v>
      </c>
      <c r="H2" s="8" t="str">
        <f>_xlfn.XLOOKUP(E2,Products!$A$2:$A$7,Products!$B$2:$B$7,"Not Found",0)</f>
        <v>Electronics</v>
      </c>
      <c r="I2">
        <f>_xlfn.XLOOKUP(E2,Products!$A$2:$A$7,Products!$D$2:$D$7,"Not Found", 0)</f>
        <v>492</v>
      </c>
      <c r="L2">
        <f>_xlfn.XLOOKUP(E2,Products!$A$2:$A$7,Products!$E$2:$E$7,"Not Found", 0)</f>
        <v>0.14000000000000001</v>
      </c>
      <c r="M2">
        <f t="shared" ref="M2:M33" si="0">EOMONTH(B2,0)</f>
        <v>45716</v>
      </c>
      <c r="N2">
        <f>_xlfn.XLOOKUP(A2, Operations!$A:$A, Operations!$B:$B, 0)</f>
        <v>5</v>
      </c>
      <c r="O2">
        <f>_xlfn.XLOOKUP(A2, Operations!$A:$A, Operations!$C:$C, 0)</f>
        <v>0.01</v>
      </c>
      <c r="P2">
        <f>_xlfn.XLOOKUP(M2, Finance!$A:$A, Finance!$B:$B, 0)</f>
        <v>43320</v>
      </c>
      <c r="Q2">
        <f>_xlfn.XLOOKUP(M2, Finance!$A:$A, Finance!$C:$C, 0)</f>
        <v>70533</v>
      </c>
      <c r="R2">
        <f>_xlfn.XLOOKUP(M2, Finance!$A:$A, Finance!$D:$D, 0)</f>
        <v>27724</v>
      </c>
      <c r="S2">
        <f t="shared" ref="S2:S33" si="1">F2*G2</f>
        <v>730</v>
      </c>
      <c r="T2">
        <f t="shared" ref="T2:T33" si="2">S2*(1-L2)</f>
        <v>627.79999999999995</v>
      </c>
      <c r="U2">
        <f t="shared" ref="U2:U33" si="3">COUNTIF($M$2:$M$97, M2)</f>
        <v>10</v>
      </c>
      <c r="V2">
        <f t="shared" ref="V2:V33" si="4">P2/U2</f>
        <v>4332</v>
      </c>
      <c r="W2">
        <f t="shared" ref="W2:W33" si="5">Q2/U2</f>
        <v>7053.3</v>
      </c>
      <c r="X2">
        <f t="shared" ref="X2:X33" si="6">R2/U2</f>
        <v>2772.4</v>
      </c>
      <c r="Y2">
        <f t="shared" ref="Y2:Y33" si="7">S2 - (F2*I2) - V2 - W2 - X2</f>
        <v>-13919.699999999999</v>
      </c>
      <c r="Z2">
        <f t="shared" ref="Z2:Z33" si="8">SUMIF($D$2:$D$97, D2, $S$2:$S$97)</f>
        <v>31997</v>
      </c>
      <c r="AA2" t="str" cm="1">
        <f t="array" ref="AA2">_xlfn.IFS(Z2&gt;50000, "VIP", Z2&gt;=20000, "Regular", TRUE, "Low Value")</f>
        <v>Regular</v>
      </c>
      <c r="AB2" s="8" t="str">
        <f>INDEX(Products!$B:$B, MATCH(E2, Products!$A:$A, 0))</f>
        <v>Electronics</v>
      </c>
    </row>
    <row r="3" spans="1:28" x14ac:dyDescent="0.3">
      <c r="A3" t="s">
        <v>38</v>
      </c>
      <c r="B3" s="4">
        <v>45712.236793981479</v>
      </c>
      <c r="C3" s="8" t="s">
        <v>11</v>
      </c>
      <c r="D3">
        <v>1004</v>
      </c>
      <c r="E3" s="8" t="s">
        <v>8</v>
      </c>
      <c r="F3">
        <v>3</v>
      </c>
      <c r="G3">
        <v>378</v>
      </c>
      <c r="H3" s="8" t="str">
        <f>_xlfn.XLOOKUP(E3,Products!$A$2:$A$7,Products!$B$2:$B$7,"Not Found",0)</f>
        <v>Accessories</v>
      </c>
      <c r="I3">
        <f>_xlfn.XLOOKUP(E3,Products!$A$2:$A$7,Products!$D$2:$D$7,"Not Found", 0)</f>
        <v>323</v>
      </c>
      <c r="L3">
        <f>_xlfn.XLOOKUP(E3,Products!$A$2:$A$7,Products!$E$2:$E$7,"Not Found", 0)</f>
        <v>0.1</v>
      </c>
      <c r="M3">
        <f t="shared" si="0"/>
        <v>45716</v>
      </c>
      <c r="N3">
        <f>_xlfn.XLOOKUP(A3, Operations!$A:$A, Operations!$B:$B, 0)</f>
        <v>2</v>
      </c>
      <c r="O3">
        <f>_xlfn.XLOOKUP(A3, Operations!$A:$A, Operations!$C:$C, 0)</f>
        <v>0.03</v>
      </c>
      <c r="P3">
        <f>_xlfn.XLOOKUP(M3, Finance!$A:$A, Finance!$B:$B, 0)</f>
        <v>43320</v>
      </c>
      <c r="Q3">
        <f>_xlfn.XLOOKUP(M3, Finance!$A:$A, Finance!$C:$C, 0)</f>
        <v>70533</v>
      </c>
      <c r="R3">
        <f>_xlfn.XLOOKUP(M3, Finance!$A:$A, Finance!$D:$D, 0)</f>
        <v>27724</v>
      </c>
      <c r="S3">
        <f t="shared" si="1"/>
        <v>1134</v>
      </c>
      <c r="T3">
        <f t="shared" si="2"/>
        <v>1020.6</v>
      </c>
      <c r="U3">
        <f t="shared" si="3"/>
        <v>10</v>
      </c>
      <c r="V3">
        <f t="shared" si="4"/>
        <v>4332</v>
      </c>
      <c r="W3">
        <f t="shared" si="5"/>
        <v>7053.3</v>
      </c>
      <c r="X3">
        <f t="shared" si="6"/>
        <v>2772.4</v>
      </c>
      <c r="Y3">
        <f t="shared" si="7"/>
        <v>-13992.699999999999</v>
      </c>
      <c r="Z3">
        <f t="shared" si="8"/>
        <v>8004</v>
      </c>
      <c r="AA3" t="str" cm="1">
        <f t="array" ref="AA3">_xlfn.IFS(Z3&gt;50000, "VIP", Z3&gt;=20000, "Regular", TRUE, "Low Value")</f>
        <v>Low Value</v>
      </c>
      <c r="AB3" s="8" t="str">
        <f>INDEX(Products!$B:$B, MATCH(E3, Products!$A:$A, 0))</f>
        <v>Accessories</v>
      </c>
    </row>
    <row r="4" spans="1:28" x14ac:dyDescent="0.3">
      <c r="A4" t="s">
        <v>37</v>
      </c>
      <c r="B4" s="4">
        <v>45736.268287037034</v>
      </c>
      <c r="C4" s="8" t="s">
        <v>4</v>
      </c>
      <c r="D4">
        <v>1005</v>
      </c>
      <c r="E4" s="8" t="s">
        <v>0</v>
      </c>
      <c r="F4">
        <v>1</v>
      </c>
      <c r="G4">
        <v>585</v>
      </c>
      <c r="H4" s="8" t="str">
        <f>_xlfn.XLOOKUP(E4,Products!$A$2:$A$7,Products!$B$2:$B$7,"Not Found",0)</f>
        <v>Electronics</v>
      </c>
      <c r="I4">
        <f>_xlfn.XLOOKUP(E4,Products!$A$2:$A$7,Products!$D$2:$D$7,"Not Found", 0)</f>
        <v>463</v>
      </c>
      <c r="L4">
        <f>_xlfn.XLOOKUP(E4,Products!$A$2:$A$7,Products!$E$2:$E$7,"Not Found", 0)</f>
        <v>0.23</v>
      </c>
      <c r="M4">
        <f t="shared" si="0"/>
        <v>45747</v>
      </c>
      <c r="N4">
        <f>_xlfn.XLOOKUP(A4, Operations!$A:$A, Operations!$B:$B, 0)</f>
        <v>6</v>
      </c>
      <c r="O4">
        <f>_xlfn.XLOOKUP(A4, Operations!$A:$A, Operations!$C:$C, 0)</f>
        <v>0.05</v>
      </c>
      <c r="P4">
        <f>_xlfn.XLOOKUP(M4, Finance!$A:$A, Finance!$B:$B, 0)</f>
        <v>34147</v>
      </c>
      <c r="Q4">
        <f>_xlfn.XLOOKUP(M4, Finance!$A:$A, Finance!$C:$C, 0)</f>
        <v>63890</v>
      </c>
      <c r="R4">
        <f>_xlfn.XLOOKUP(M4, Finance!$A:$A, Finance!$D:$D, 0)</f>
        <v>17738</v>
      </c>
      <c r="S4">
        <f t="shared" si="1"/>
        <v>585</v>
      </c>
      <c r="T4">
        <f t="shared" si="2"/>
        <v>450.45</v>
      </c>
      <c r="U4">
        <f t="shared" si="3"/>
        <v>10</v>
      </c>
      <c r="V4">
        <f t="shared" si="4"/>
        <v>3414.7</v>
      </c>
      <c r="W4">
        <f t="shared" si="5"/>
        <v>6389</v>
      </c>
      <c r="X4">
        <f t="shared" si="6"/>
        <v>1773.8</v>
      </c>
      <c r="Y4">
        <f t="shared" si="7"/>
        <v>-11455.5</v>
      </c>
      <c r="Z4">
        <f t="shared" si="8"/>
        <v>24821</v>
      </c>
      <c r="AA4" t="str" cm="1">
        <f t="array" ref="AA4">_xlfn.IFS(Z4&gt;50000, "VIP", Z4&gt;=20000, "Regular", TRUE, "Low Value")</f>
        <v>Regular</v>
      </c>
      <c r="AB4" s="8" t="str">
        <f>INDEX(Products!$B:$B, MATCH(E4, Products!$A:$A, 0))</f>
        <v>Electronics</v>
      </c>
    </row>
    <row r="5" spans="1:28" x14ac:dyDescent="0.3">
      <c r="A5" t="s">
        <v>36</v>
      </c>
      <c r="B5" s="4">
        <v>45703.571203703701</v>
      </c>
      <c r="C5" s="8" t="s">
        <v>1</v>
      </c>
      <c r="D5">
        <v>1018</v>
      </c>
      <c r="E5" s="8" t="s">
        <v>21</v>
      </c>
      <c r="F5">
        <v>8</v>
      </c>
      <c r="G5">
        <v>726</v>
      </c>
      <c r="H5" s="8" t="str">
        <f>_xlfn.XLOOKUP(E5,Products!$A$2:$A$7,Products!$B$2:$B$7,"Not Found",0)</f>
        <v>Electronics</v>
      </c>
      <c r="I5">
        <f>_xlfn.XLOOKUP(E5,Products!$A$2:$A$7,Products!$D$2:$D$7,"Not Found", 0)</f>
        <v>97</v>
      </c>
      <c r="L5">
        <f>_xlfn.XLOOKUP(E5,Products!$A$2:$A$7,Products!$E$2:$E$7,"Not Found", 0)</f>
        <v>0.08</v>
      </c>
      <c r="M5">
        <f t="shared" si="0"/>
        <v>45716</v>
      </c>
      <c r="N5">
        <f>_xlfn.XLOOKUP(A5, Operations!$A:$A, Operations!$B:$B, 0)</f>
        <v>4</v>
      </c>
      <c r="O5">
        <f>_xlfn.XLOOKUP(A5, Operations!$A:$A, Operations!$C:$C, 0)</f>
        <v>7.0000000000000007E-2</v>
      </c>
      <c r="P5">
        <f>_xlfn.XLOOKUP(M5, Finance!$A:$A, Finance!$B:$B, 0)</f>
        <v>43320</v>
      </c>
      <c r="Q5">
        <f>_xlfn.XLOOKUP(M5, Finance!$A:$A, Finance!$C:$C, 0)</f>
        <v>70533</v>
      </c>
      <c r="R5">
        <f>_xlfn.XLOOKUP(M5, Finance!$A:$A, Finance!$D:$D, 0)</f>
        <v>27724</v>
      </c>
      <c r="S5">
        <f t="shared" si="1"/>
        <v>5808</v>
      </c>
      <c r="T5">
        <f t="shared" si="2"/>
        <v>5343.3600000000006</v>
      </c>
      <c r="U5">
        <f t="shared" si="3"/>
        <v>10</v>
      </c>
      <c r="V5">
        <f t="shared" si="4"/>
        <v>4332</v>
      </c>
      <c r="W5">
        <f t="shared" si="5"/>
        <v>7053.3</v>
      </c>
      <c r="X5">
        <f t="shared" si="6"/>
        <v>2772.4</v>
      </c>
      <c r="Y5">
        <f t="shared" si="7"/>
        <v>-9125.7000000000007</v>
      </c>
      <c r="Z5">
        <f t="shared" si="8"/>
        <v>31997</v>
      </c>
      <c r="AA5" t="str" cm="1">
        <f t="array" ref="AA5">_xlfn.IFS(Z5&gt;50000, "VIP", Z5&gt;=20000, "Regular", TRUE, "Low Value")</f>
        <v>Regular</v>
      </c>
      <c r="AB5" s="8" t="str">
        <f>INDEX(Products!$B:$B, MATCH(E5, Products!$A:$A, 0))</f>
        <v>Electronics</v>
      </c>
    </row>
    <row r="6" spans="1:28" x14ac:dyDescent="0.3">
      <c r="A6" t="s">
        <v>35</v>
      </c>
      <c r="B6" s="4">
        <v>45663.685914351852</v>
      </c>
      <c r="C6" s="8" t="s">
        <v>9</v>
      </c>
      <c r="D6">
        <v>1012</v>
      </c>
      <c r="E6" s="8" t="s">
        <v>14</v>
      </c>
      <c r="F6">
        <v>2</v>
      </c>
      <c r="G6">
        <v>709</v>
      </c>
      <c r="H6" s="8" t="str">
        <f>_xlfn.XLOOKUP(E6,Products!$A$2:$A$7,Products!$B$2:$B$7,"Not Found",0)</f>
        <v>Electronics</v>
      </c>
      <c r="I6">
        <f>_xlfn.XLOOKUP(E6,Products!$A$2:$A$7,Products!$D$2:$D$7,"Not Found", 0)</f>
        <v>469</v>
      </c>
      <c r="L6">
        <f>_xlfn.XLOOKUP(E6,Products!$A$2:$A$7,Products!$E$2:$E$7,"Not Found", 0)</f>
        <v>0.22</v>
      </c>
      <c r="M6">
        <f t="shared" si="0"/>
        <v>45688</v>
      </c>
      <c r="N6">
        <f>_xlfn.XLOOKUP(A6, Operations!$A:$A, Operations!$B:$B, 0)</f>
        <v>5</v>
      </c>
      <c r="O6">
        <f>_xlfn.XLOOKUP(A6, Operations!$A:$A, Operations!$C:$C, 0)</f>
        <v>0.03</v>
      </c>
      <c r="P6">
        <f>_xlfn.XLOOKUP(M6, Finance!$A:$A, Finance!$B:$B, 0)</f>
        <v>25640</v>
      </c>
      <c r="Q6">
        <f>_xlfn.XLOOKUP(M6, Finance!$A:$A, Finance!$C:$C, 0)</f>
        <v>60082</v>
      </c>
      <c r="R6">
        <f>_xlfn.XLOOKUP(M6, Finance!$A:$A, Finance!$D:$D, 0)</f>
        <v>21492</v>
      </c>
      <c r="S6">
        <f t="shared" si="1"/>
        <v>1418</v>
      </c>
      <c r="T6">
        <f t="shared" si="2"/>
        <v>1106.04</v>
      </c>
      <c r="U6">
        <f t="shared" si="3"/>
        <v>10</v>
      </c>
      <c r="V6">
        <f t="shared" si="4"/>
        <v>2564</v>
      </c>
      <c r="W6">
        <f t="shared" si="5"/>
        <v>6008.2</v>
      </c>
      <c r="X6">
        <f t="shared" si="6"/>
        <v>2149.1999999999998</v>
      </c>
      <c r="Y6">
        <f t="shared" si="7"/>
        <v>-10241.4</v>
      </c>
      <c r="Z6">
        <f t="shared" si="8"/>
        <v>8379</v>
      </c>
      <c r="AA6" t="str" cm="1">
        <f t="array" ref="AA6">_xlfn.IFS(Z6&gt;50000, "VIP", Z6&gt;=20000, "Regular", TRUE, "Low Value")</f>
        <v>Low Value</v>
      </c>
      <c r="AB6" s="8" t="str">
        <f>INDEX(Products!$B:$B, MATCH(E6, Products!$A:$A, 0))</f>
        <v>Electronics</v>
      </c>
    </row>
    <row r="7" spans="1:28" x14ac:dyDescent="0.3">
      <c r="A7" t="s">
        <v>34</v>
      </c>
      <c r="B7" s="4">
        <v>45716.226770833331</v>
      </c>
      <c r="C7" s="8" t="s">
        <v>1</v>
      </c>
      <c r="D7">
        <v>1013</v>
      </c>
      <c r="E7" s="8" t="s">
        <v>14</v>
      </c>
      <c r="F7">
        <v>8</v>
      </c>
      <c r="G7">
        <v>1817</v>
      </c>
      <c r="H7" s="8" t="str">
        <f>_xlfn.XLOOKUP(E7,Products!$A$2:$A$7,Products!$B$2:$B$7,"Not Found",0)</f>
        <v>Electronics</v>
      </c>
      <c r="I7">
        <f>_xlfn.XLOOKUP(E7,Products!$A$2:$A$7,Products!$D$2:$D$7,"Not Found", 0)</f>
        <v>469</v>
      </c>
      <c r="L7">
        <f>_xlfn.XLOOKUP(E7,Products!$A$2:$A$7,Products!$E$2:$E$7,"Not Found", 0)</f>
        <v>0.22</v>
      </c>
      <c r="M7">
        <f t="shared" si="0"/>
        <v>45716</v>
      </c>
      <c r="N7">
        <f>_xlfn.XLOOKUP(A7, Operations!$A:$A, Operations!$B:$B, 0)</f>
        <v>5</v>
      </c>
      <c r="O7">
        <f>_xlfn.XLOOKUP(A7, Operations!$A:$A, Operations!$C:$C, 0)</f>
        <v>0.06</v>
      </c>
      <c r="P7">
        <f>_xlfn.XLOOKUP(M7, Finance!$A:$A, Finance!$B:$B, 0)</f>
        <v>43320</v>
      </c>
      <c r="Q7">
        <f>_xlfn.XLOOKUP(M7, Finance!$A:$A, Finance!$C:$C, 0)</f>
        <v>70533</v>
      </c>
      <c r="R7">
        <f>_xlfn.XLOOKUP(M7, Finance!$A:$A, Finance!$D:$D, 0)</f>
        <v>27724</v>
      </c>
      <c r="S7">
        <f t="shared" si="1"/>
        <v>14536</v>
      </c>
      <c r="T7">
        <f t="shared" si="2"/>
        <v>11338.08</v>
      </c>
      <c r="U7">
        <f t="shared" si="3"/>
        <v>10</v>
      </c>
      <c r="V7">
        <f t="shared" si="4"/>
        <v>4332</v>
      </c>
      <c r="W7">
        <f t="shared" si="5"/>
        <v>7053.3</v>
      </c>
      <c r="X7">
        <f t="shared" si="6"/>
        <v>2772.4</v>
      </c>
      <c r="Y7">
        <f t="shared" si="7"/>
        <v>-3373.7000000000003</v>
      </c>
      <c r="Z7">
        <f t="shared" si="8"/>
        <v>17364</v>
      </c>
      <c r="AA7" t="str" cm="1">
        <f t="array" ref="AA7">_xlfn.IFS(Z7&gt;50000, "VIP", Z7&gt;=20000, "Regular", TRUE, "Low Value")</f>
        <v>Low Value</v>
      </c>
      <c r="AB7" s="8" t="str">
        <f>INDEX(Products!$B:$B, MATCH(E7, Products!$A:$A, 0))</f>
        <v>Electronics</v>
      </c>
    </row>
    <row r="8" spans="1:28" x14ac:dyDescent="0.3">
      <c r="A8" t="s">
        <v>33</v>
      </c>
      <c r="B8" s="4">
        <v>45735.116423611107</v>
      </c>
      <c r="C8" s="8" t="s">
        <v>11</v>
      </c>
      <c r="D8">
        <v>1017</v>
      </c>
      <c r="E8" s="8" t="s">
        <v>31</v>
      </c>
      <c r="F8">
        <v>9</v>
      </c>
      <c r="G8">
        <v>1976</v>
      </c>
      <c r="H8" s="8" t="str">
        <f>_xlfn.XLOOKUP(E8,Products!$A$2:$A$7,Products!$B$2:$B$7,"Not Found",0)</f>
        <v>Electronics</v>
      </c>
      <c r="I8">
        <f>_xlfn.XLOOKUP(E8,Products!$A$2:$A$7,Products!$D$2:$D$7,"Not Found", 0)</f>
        <v>492</v>
      </c>
      <c r="L8">
        <f>_xlfn.XLOOKUP(E8,Products!$A$2:$A$7,Products!$E$2:$E$7,"Not Found", 0)</f>
        <v>0.14000000000000001</v>
      </c>
      <c r="M8">
        <f t="shared" si="0"/>
        <v>45747</v>
      </c>
      <c r="N8">
        <f>_xlfn.XLOOKUP(A8, Operations!$A:$A, Operations!$B:$B, 0)</f>
        <v>4</v>
      </c>
      <c r="O8">
        <f>_xlfn.XLOOKUP(A8, Operations!$A:$A, Operations!$C:$C, 0)</f>
        <v>0.02</v>
      </c>
      <c r="P8">
        <f>_xlfn.XLOOKUP(M8, Finance!$A:$A, Finance!$B:$B, 0)</f>
        <v>34147</v>
      </c>
      <c r="Q8">
        <f>_xlfn.XLOOKUP(M8, Finance!$A:$A, Finance!$C:$C, 0)</f>
        <v>63890</v>
      </c>
      <c r="R8">
        <f>_xlfn.XLOOKUP(M8, Finance!$A:$A, Finance!$D:$D, 0)</f>
        <v>17738</v>
      </c>
      <c r="S8">
        <f t="shared" si="1"/>
        <v>17784</v>
      </c>
      <c r="T8">
        <f t="shared" si="2"/>
        <v>15294.24</v>
      </c>
      <c r="U8">
        <f t="shared" si="3"/>
        <v>10</v>
      </c>
      <c r="V8">
        <f t="shared" si="4"/>
        <v>3414.7</v>
      </c>
      <c r="W8">
        <f t="shared" si="5"/>
        <v>6389</v>
      </c>
      <c r="X8">
        <f t="shared" si="6"/>
        <v>1773.8</v>
      </c>
      <c r="Y8">
        <f t="shared" si="7"/>
        <v>1778.4999999999993</v>
      </c>
      <c r="Z8">
        <f t="shared" si="8"/>
        <v>38912</v>
      </c>
      <c r="AA8" t="str" cm="1">
        <f t="array" ref="AA8">_xlfn.IFS(Z8&gt;50000, "VIP", Z8&gt;=20000, "Regular", TRUE, "Low Value")</f>
        <v>Regular</v>
      </c>
      <c r="AB8" s="8" t="str">
        <f>INDEX(Products!$B:$B, MATCH(E8, Products!$A:$A, 0))</f>
        <v>Electronics</v>
      </c>
    </row>
    <row r="9" spans="1:28" x14ac:dyDescent="0.3">
      <c r="A9" t="s">
        <v>32</v>
      </c>
      <c r="B9" s="4">
        <v>45707.394131944442</v>
      </c>
      <c r="C9" s="8" t="s">
        <v>11</v>
      </c>
      <c r="D9">
        <v>1014</v>
      </c>
      <c r="E9" s="8" t="s">
        <v>31</v>
      </c>
      <c r="F9">
        <v>5</v>
      </c>
      <c r="G9">
        <v>1134</v>
      </c>
      <c r="H9" s="8" t="str">
        <f>_xlfn.XLOOKUP(E9,Products!$A$2:$A$7,Products!$B$2:$B$7,"Not Found",0)</f>
        <v>Electronics</v>
      </c>
      <c r="I9">
        <f>_xlfn.XLOOKUP(E9,Products!$A$2:$A$7,Products!$D$2:$D$7,"Not Found", 0)</f>
        <v>492</v>
      </c>
      <c r="L9">
        <f>_xlfn.XLOOKUP(E9,Products!$A$2:$A$7,Products!$E$2:$E$7,"Not Found", 0)</f>
        <v>0.14000000000000001</v>
      </c>
      <c r="M9">
        <f t="shared" si="0"/>
        <v>45716</v>
      </c>
      <c r="N9">
        <f>_xlfn.XLOOKUP(A9, Operations!$A:$A, Operations!$B:$B, 0)</f>
        <v>8</v>
      </c>
      <c r="O9">
        <f>_xlfn.XLOOKUP(A9, Operations!$A:$A, Operations!$C:$C, 0)</f>
        <v>7.0000000000000007E-2</v>
      </c>
      <c r="P9">
        <f>_xlfn.XLOOKUP(M9, Finance!$A:$A, Finance!$B:$B, 0)</f>
        <v>43320</v>
      </c>
      <c r="Q9">
        <f>_xlfn.XLOOKUP(M9, Finance!$A:$A, Finance!$C:$C, 0)</f>
        <v>70533</v>
      </c>
      <c r="R9">
        <f>_xlfn.XLOOKUP(M9, Finance!$A:$A, Finance!$D:$D, 0)</f>
        <v>27724</v>
      </c>
      <c r="S9">
        <f t="shared" si="1"/>
        <v>5670</v>
      </c>
      <c r="T9">
        <f t="shared" si="2"/>
        <v>4876.2</v>
      </c>
      <c r="U9">
        <f t="shared" si="3"/>
        <v>10</v>
      </c>
      <c r="V9">
        <f t="shared" si="4"/>
        <v>4332</v>
      </c>
      <c r="W9">
        <f t="shared" si="5"/>
        <v>7053.3</v>
      </c>
      <c r="X9">
        <f t="shared" si="6"/>
        <v>2772.4</v>
      </c>
      <c r="Y9">
        <f t="shared" si="7"/>
        <v>-10947.7</v>
      </c>
      <c r="Z9">
        <f t="shared" si="8"/>
        <v>31571</v>
      </c>
      <c r="AA9" t="str" cm="1">
        <f t="array" ref="AA9">_xlfn.IFS(Z9&gt;50000, "VIP", Z9&gt;=20000, "Regular", TRUE, "Low Value")</f>
        <v>Regular</v>
      </c>
      <c r="AB9" s="8" t="str">
        <f>INDEX(Products!$B:$B, MATCH(E9, Products!$A:$A, 0))</f>
        <v>Electronics</v>
      </c>
    </row>
    <row r="10" spans="1:28" x14ac:dyDescent="0.3">
      <c r="A10" t="s">
        <v>30</v>
      </c>
      <c r="B10" s="4">
        <v>45671.497210648151</v>
      </c>
      <c r="C10" s="8" t="s">
        <v>11</v>
      </c>
      <c r="D10">
        <v>1020</v>
      </c>
      <c r="E10" s="8" t="s">
        <v>3</v>
      </c>
      <c r="F10">
        <v>1</v>
      </c>
      <c r="G10">
        <v>1220</v>
      </c>
      <c r="H10" s="8" t="str">
        <f>_xlfn.XLOOKUP(E10,Products!$A$2:$A$7,Products!$B$2:$B$7,"Not Found",0)</f>
        <v>Office</v>
      </c>
      <c r="I10">
        <f>_xlfn.XLOOKUP(E10,Products!$A$2:$A$7,Products!$D$2:$D$7,"Not Found", 0)</f>
        <v>136</v>
      </c>
      <c r="L10">
        <f>_xlfn.XLOOKUP(E10,Products!$A$2:$A$7,Products!$E$2:$E$7,"Not Found", 0)</f>
        <v>0.1</v>
      </c>
      <c r="M10">
        <f t="shared" si="0"/>
        <v>45688</v>
      </c>
      <c r="N10">
        <f>_xlfn.XLOOKUP(A10, Operations!$A:$A, Operations!$B:$B, 0)</f>
        <v>2</v>
      </c>
      <c r="O10">
        <f>_xlfn.XLOOKUP(A10, Operations!$A:$A, Operations!$C:$C, 0)</f>
        <v>0.08</v>
      </c>
      <c r="P10">
        <f>_xlfn.XLOOKUP(M10, Finance!$A:$A, Finance!$B:$B, 0)</f>
        <v>25640</v>
      </c>
      <c r="Q10">
        <f>_xlfn.XLOOKUP(M10, Finance!$A:$A, Finance!$C:$C, 0)</f>
        <v>60082</v>
      </c>
      <c r="R10">
        <f>_xlfn.XLOOKUP(M10, Finance!$A:$A, Finance!$D:$D, 0)</f>
        <v>21492</v>
      </c>
      <c r="S10">
        <f t="shared" si="1"/>
        <v>1220</v>
      </c>
      <c r="T10">
        <f t="shared" si="2"/>
        <v>1098</v>
      </c>
      <c r="U10">
        <f t="shared" si="3"/>
        <v>10</v>
      </c>
      <c r="V10">
        <f t="shared" si="4"/>
        <v>2564</v>
      </c>
      <c r="W10">
        <f t="shared" si="5"/>
        <v>6008.2</v>
      </c>
      <c r="X10">
        <f t="shared" si="6"/>
        <v>2149.1999999999998</v>
      </c>
      <c r="Y10">
        <f t="shared" si="7"/>
        <v>-9637.4</v>
      </c>
      <c r="Z10">
        <f t="shared" si="8"/>
        <v>21494</v>
      </c>
      <c r="AA10" t="str" cm="1">
        <f t="array" ref="AA10">_xlfn.IFS(Z10&gt;50000, "VIP", Z10&gt;=20000, "Regular", TRUE, "Low Value")</f>
        <v>Regular</v>
      </c>
      <c r="AB10" s="8" t="str">
        <f>INDEX(Products!$B:$B, MATCH(E10, Products!$A:$A, 0))</f>
        <v>Office</v>
      </c>
    </row>
    <row r="11" spans="1:28" x14ac:dyDescent="0.3">
      <c r="A11" t="s">
        <v>29</v>
      </c>
      <c r="B11" s="4">
        <v>45743.202222222222</v>
      </c>
      <c r="C11" s="8" t="s">
        <v>4</v>
      </c>
      <c r="D11">
        <v>1010</v>
      </c>
      <c r="E11" s="8" t="s">
        <v>8</v>
      </c>
      <c r="F11">
        <v>2</v>
      </c>
      <c r="G11">
        <v>283</v>
      </c>
      <c r="H11" s="8" t="str">
        <f>_xlfn.XLOOKUP(E11,Products!$A$2:$A$7,Products!$B$2:$B$7,"Not Found",0)</f>
        <v>Accessories</v>
      </c>
      <c r="I11">
        <f>_xlfn.XLOOKUP(E11,Products!$A$2:$A$7,Products!$D$2:$D$7,"Not Found", 0)</f>
        <v>323</v>
      </c>
      <c r="L11">
        <f>_xlfn.XLOOKUP(E11,Products!$A$2:$A$7,Products!$E$2:$E$7,"Not Found", 0)</f>
        <v>0.1</v>
      </c>
      <c r="M11">
        <f t="shared" si="0"/>
        <v>45747</v>
      </c>
      <c r="N11">
        <f>_xlfn.XLOOKUP(A11, Operations!$A:$A, Operations!$B:$B, 0)</f>
        <v>2</v>
      </c>
      <c r="O11">
        <f>_xlfn.XLOOKUP(A11, Operations!$A:$A, Operations!$C:$C, 0)</f>
        <v>0.08</v>
      </c>
      <c r="P11">
        <f>_xlfn.XLOOKUP(M11, Finance!$A:$A, Finance!$B:$B, 0)</f>
        <v>34147</v>
      </c>
      <c r="Q11">
        <f>_xlfn.XLOOKUP(M11, Finance!$A:$A, Finance!$C:$C, 0)</f>
        <v>63890</v>
      </c>
      <c r="R11">
        <f>_xlfn.XLOOKUP(M11, Finance!$A:$A, Finance!$D:$D, 0)</f>
        <v>17738</v>
      </c>
      <c r="S11">
        <f t="shared" si="1"/>
        <v>566</v>
      </c>
      <c r="T11">
        <f t="shared" si="2"/>
        <v>509.40000000000003</v>
      </c>
      <c r="U11">
        <f t="shared" si="3"/>
        <v>10</v>
      </c>
      <c r="V11">
        <f t="shared" si="4"/>
        <v>3414.7</v>
      </c>
      <c r="W11">
        <f t="shared" si="5"/>
        <v>6389</v>
      </c>
      <c r="X11">
        <f t="shared" si="6"/>
        <v>1773.8</v>
      </c>
      <c r="Y11">
        <f t="shared" si="7"/>
        <v>-11657.5</v>
      </c>
      <c r="Z11">
        <f t="shared" si="8"/>
        <v>23446</v>
      </c>
      <c r="AA11" t="str" cm="1">
        <f t="array" ref="AA11">_xlfn.IFS(Z11&gt;50000, "VIP", Z11&gt;=20000, "Regular", TRUE, "Low Value")</f>
        <v>Regular</v>
      </c>
      <c r="AB11" s="8" t="str">
        <f>INDEX(Products!$B:$B, MATCH(E11, Products!$A:$A, 0))</f>
        <v>Accessories</v>
      </c>
    </row>
    <row r="12" spans="1:28" x14ac:dyDescent="0.3">
      <c r="A12" t="s">
        <v>28</v>
      </c>
      <c r="B12" s="4">
        <v>45684.929074074083</v>
      </c>
      <c r="C12" s="8" t="s">
        <v>4</v>
      </c>
      <c r="D12">
        <v>1019</v>
      </c>
      <c r="E12" s="8" t="s">
        <v>14</v>
      </c>
      <c r="F12">
        <v>9</v>
      </c>
      <c r="G12">
        <v>417</v>
      </c>
      <c r="H12" s="8" t="str">
        <f>_xlfn.XLOOKUP(E12,Products!$A$2:$A$7,Products!$B$2:$B$7,"Not Found",0)</f>
        <v>Electronics</v>
      </c>
      <c r="I12">
        <f>_xlfn.XLOOKUP(E12,Products!$A$2:$A$7,Products!$D$2:$D$7,"Not Found", 0)</f>
        <v>469</v>
      </c>
      <c r="L12">
        <f>_xlfn.XLOOKUP(E12,Products!$A$2:$A$7,Products!$E$2:$E$7,"Not Found", 0)</f>
        <v>0.22</v>
      </c>
      <c r="M12">
        <f t="shared" si="0"/>
        <v>45688</v>
      </c>
      <c r="N12">
        <f>_xlfn.XLOOKUP(A12, Operations!$A:$A, Operations!$B:$B, 0)</f>
        <v>8</v>
      </c>
      <c r="O12">
        <f>_xlfn.XLOOKUP(A12, Operations!$A:$A, Operations!$C:$C, 0)</f>
        <v>0.06</v>
      </c>
      <c r="P12">
        <f>_xlfn.XLOOKUP(M12, Finance!$A:$A, Finance!$B:$B, 0)</f>
        <v>25640</v>
      </c>
      <c r="Q12">
        <f>_xlfn.XLOOKUP(M12, Finance!$A:$A, Finance!$C:$C, 0)</f>
        <v>60082</v>
      </c>
      <c r="R12">
        <f>_xlfn.XLOOKUP(M12, Finance!$A:$A, Finance!$D:$D, 0)</f>
        <v>21492</v>
      </c>
      <c r="S12">
        <f t="shared" si="1"/>
        <v>3753</v>
      </c>
      <c r="T12">
        <f t="shared" si="2"/>
        <v>2927.34</v>
      </c>
      <c r="U12">
        <f t="shared" si="3"/>
        <v>10</v>
      </c>
      <c r="V12">
        <f t="shared" si="4"/>
        <v>2564</v>
      </c>
      <c r="W12">
        <f t="shared" si="5"/>
        <v>6008.2</v>
      </c>
      <c r="X12">
        <f t="shared" si="6"/>
        <v>2149.1999999999998</v>
      </c>
      <c r="Y12">
        <f t="shared" si="7"/>
        <v>-11189.400000000001</v>
      </c>
      <c r="Z12">
        <f t="shared" si="8"/>
        <v>20633</v>
      </c>
      <c r="AA12" t="str" cm="1">
        <f t="array" ref="AA12">_xlfn.IFS(Z12&gt;50000, "VIP", Z12&gt;=20000, "Regular", TRUE, "Low Value")</f>
        <v>Regular</v>
      </c>
      <c r="AB12" s="8" t="str">
        <f>INDEX(Products!$B:$B, MATCH(E12, Products!$A:$A, 0))</f>
        <v>Electronics</v>
      </c>
    </row>
    <row r="13" spans="1:28" x14ac:dyDescent="0.3">
      <c r="A13" t="s">
        <v>27</v>
      </c>
      <c r="B13" s="4">
        <v>45662.789641203701</v>
      </c>
      <c r="C13" s="8" t="s">
        <v>11</v>
      </c>
      <c r="D13">
        <v>1016</v>
      </c>
      <c r="E13" s="8" t="s">
        <v>14</v>
      </c>
      <c r="F13">
        <v>3</v>
      </c>
      <c r="G13">
        <v>1692</v>
      </c>
      <c r="H13" s="8" t="str">
        <f>_xlfn.XLOOKUP(E13,Products!$A$2:$A$7,Products!$B$2:$B$7,"Not Found",0)</f>
        <v>Electronics</v>
      </c>
      <c r="I13">
        <f>_xlfn.XLOOKUP(E13,Products!$A$2:$A$7,Products!$D$2:$D$7,"Not Found", 0)</f>
        <v>469</v>
      </c>
      <c r="L13">
        <f>_xlfn.XLOOKUP(E13,Products!$A$2:$A$7,Products!$E$2:$E$7,"Not Found", 0)</f>
        <v>0.22</v>
      </c>
      <c r="M13">
        <f t="shared" si="0"/>
        <v>45688</v>
      </c>
      <c r="N13">
        <f>_xlfn.XLOOKUP(A13, Operations!$A:$A, Operations!$B:$B, 0)</f>
        <v>8</v>
      </c>
      <c r="O13">
        <f>_xlfn.XLOOKUP(A13, Operations!$A:$A, Operations!$C:$C, 0)</f>
        <v>0.03</v>
      </c>
      <c r="P13">
        <f>_xlfn.XLOOKUP(M13, Finance!$A:$A, Finance!$B:$B, 0)</f>
        <v>25640</v>
      </c>
      <c r="Q13">
        <f>_xlfn.XLOOKUP(M13, Finance!$A:$A, Finance!$C:$C, 0)</f>
        <v>60082</v>
      </c>
      <c r="R13">
        <f>_xlfn.XLOOKUP(M13, Finance!$A:$A, Finance!$D:$D, 0)</f>
        <v>21492</v>
      </c>
      <c r="S13">
        <f t="shared" si="1"/>
        <v>5076</v>
      </c>
      <c r="T13">
        <f t="shared" si="2"/>
        <v>3959.28</v>
      </c>
      <c r="U13">
        <f t="shared" si="3"/>
        <v>10</v>
      </c>
      <c r="V13">
        <f t="shared" si="4"/>
        <v>2564</v>
      </c>
      <c r="W13">
        <f t="shared" si="5"/>
        <v>6008.2</v>
      </c>
      <c r="X13">
        <f t="shared" si="6"/>
        <v>2149.1999999999998</v>
      </c>
      <c r="Y13">
        <f t="shared" si="7"/>
        <v>-7052.4</v>
      </c>
      <c r="Z13">
        <f t="shared" si="8"/>
        <v>22009</v>
      </c>
      <c r="AA13" t="str" cm="1">
        <f t="array" ref="AA13">_xlfn.IFS(Z13&gt;50000, "VIP", Z13&gt;=20000, "Regular", TRUE, "Low Value")</f>
        <v>Regular</v>
      </c>
      <c r="AB13" s="8" t="str">
        <f>INDEX(Products!$B:$B, MATCH(E13, Products!$A:$A, 0))</f>
        <v>Electronics</v>
      </c>
    </row>
    <row r="14" spans="1:28" x14ac:dyDescent="0.3">
      <c r="A14" t="s">
        <v>26</v>
      </c>
      <c r="B14" s="4">
        <v>45693.460138888891</v>
      </c>
      <c r="C14" s="8" t="s">
        <v>1</v>
      </c>
      <c r="D14">
        <v>1001</v>
      </c>
      <c r="E14" s="8" t="s">
        <v>3</v>
      </c>
      <c r="F14">
        <v>4</v>
      </c>
      <c r="G14">
        <v>1853</v>
      </c>
      <c r="H14" s="8" t="str">
        <f>_xlfn.XLOOKUP(E14,Products!$A$2:$A$7,Products!$B$2:$B$7,"Not Found",0)</f>
        <v>Office</v>
      </c>
      <c r="I14">
        <f>_xlfn.XLOOKUP(E14,Products!$A$2:$A$7,Products!$D$2:$D$7,"Not Found", 0)</f>
        <v>136</v>
      </c>
      <c r="L14">
        <f>_xlfn.XLOOKUP(E14,Products!$A$2:$A$7,Products!$E$2:$E$7,"Not Found", 0)</f>
        <v>0.1</v>
      </c>
      <c r="M14">
        <f t="shared" si="0"/>
        <v>45716</v>
      </c>
      <c r="N14">
        <f>_xlfn.XLOOKUP(A14, Operations!$A:$A, Operations!$B:$B, 0)</f>
        <v>1</v>
      </c>
      <c r="O14">
        <f>_xlfn.XLOOKUP(A14, Operations!$A:$A, Operations!$C:$C, 0)</f>
        <v>7.0000000000000007E-2</v>
      </c>
      <c r="P14">
        <f>_xlfn.XLOOKUP(M14, Finance!$A:$A, Finance!$B:$B, 0)</f>
        <v>43320</v>
      </c>
      <c r="Q14">
        <f>_xlfn.XLOOKUP(M14, Finance!$A:$A, Finance!$C:$C, 0)</f>
        <v>70533</v>
      </c>
      <c r="R14">
        <f>_xlfn.XLOOKUP(M14, Finance!$A:$A, Finance!$D:$D, 0)</f>
        <v>27724</v>
      </c>
      <c r="S14">
        <f t="shared" si="1"/>
        <v>7412</v>
      </c>
      <c r="T14">
        <f t="shared" si="2"/>
        <v>6670.8</v>
      </c>
      <c r="U14">
        <f t="shared" si="3"/>
        <v>10</v>
      </c>
      <c r="V14">
        <f t="shared" si="4"/>
        <v>4332</v>
      </c>
      <c r="W14">
        <f t="shared" si="5"/>
        <v>7053.3</v>
      </c>
      <c r="X14">
        <f t="shared" si="6"/>
        <v>2772.4</v>
      </c>
      <c r="Y14">
        <f t="shared" si="7"/>
        <v>-7289.7000000000007</v>
      </c>
      <c r="Z14">
        <f t="shared" si="8"/>
        <v>23279</v>
      </c>
      <c r="AA14" t="str" cm="1">
        <f t="array" ref="AA14">_xlfn.IFS(Z14&gt;50000, "VIP", Z14&gt;=20000, "Regular", TRUE, "Low Value")</f>
        <v>Regular</v>
      </c>
      <c r="AB14" s="8" t="str">
        <f>INDEX(Products!$B:$B, MATCH(E14, Products!$A:$A, 0))</f>
        <v>Office</v>
      </c>
    </row>
    <row r="15" spans="1:28" x14ac:dyDescent="0.3">
      <c r="A15" t="s">
        <v>25</v>
      </c>
      <c r="B15" s="4">
        <v>45717.254155092603</v>
      </c>
      <c r="C15" s="8" t="s">
        <v>11</v>
      </c>
      <c r="D15">
        <v>1005</v>
      </c>
      <c r="E15" s="8" t="s">
        <v>3</v>
      </c>
      <c r="F15">
        <v>2</v>
      </c>
      <c r="G15">
        <v>505</v>
      </c>
      <c r="H15" s="8" t="str">
        <f>_xlfn.XLOOKUP(E15,Products!$A$2:$A$7,Products!$B$2:$B$7,"Not Found",0)</f>
        <v>Office</v>
      </c>
      <c r="I15">
        <f>_xlfn.XLOOKUP(E15,Products!$A$2:$A$7,Products!$D$2:$D$7,"Not Found", 0)</f>
        <v>136</v>
      </c>
      <c r="L15">
        <f>_xlfn.XLOOKUP(E15,Products!$A$2:$A$7,Products!$E$2:$E$7,"Not Found", 0)</f>
        <v>0.1</v>
      </c>
      <c r="M15">
        <f t="shared" si="0"/>
        <v>45747</v>
      </c>
      <c r="N15">
        <f>_xlfn.XLOOKUP(A15, Operations!$A:$A, Operations!$B:$B, 0)</f>
        <v>3</v>
      </c>
      <c r="O15">
        <f>_xlfn.XLOOKUP(A15, Operations!$A:$A, Operations!$C:$C, 0)</f>
        <v>0.09</v>
      </c>
      <c r="P15">
        <f>_xlfn.XLOOKUP(M15, Finance!$A:$A, Finance!$B:$B, 0)</f>
        <v>34147</v>
      </c>
      <c r="Q15">
        <f>_xlfn.XLOOKUP(M15, Finance!$A:$A, Finance!$C:$C, 0)</f>
        <v>63890</v>
      </c>
      <c r="R15">
        <f>_xlfn.XLOOKUP(M15, Finance!$A:$A, Finance!$D:$D, 0)</f>
        <v>17738</v>
      </c>
      <c r="S15">
        <f t="shared" si="1"/>
        <v>1010</v>
      </c>
      <c r="T15">
        <f t="shared" si="2"/>
        <v>909</v>
      </c>
      <c r="U15">
        <f t="shared" si="3"/>
        <v>10</v>
      </c>
      <c r="V15">
        <f t="shared" si="4"/>
        <v>3414.7</v>
      </c>
      <c r="W15">
        <f t="shared" si="5"/>
        <v>6389</v>
      </c>
      <c r="X15">
        <f t="shared" si="6"/>
        <v>1773.8</v>
      </c>
      <c r="Y15">
        <f t="shared" si="7"/>
        <v>-10839.5</v>
      </c>
      <c r="Z15">
        <f t="shared" si="8"/>
        <v>24821</v>
      </c>
      <c r="AA15" t="str" cm="1">
        <f t="array" ref="AA15">_xlfn.IFS(Z15&gt;50000, "VIP", Z15&gt;=20000, "Regular", TRUE, "Low Value")</f>
        <v>Regular</v>
      </c>
      <c r="AB15" s="8" t="str">
        <f>INDEX(Products!$B:$B, MATCH(E15, Products!$A:$A, 0))</f>
        <v>Office</v>
      </c>
    </row>
    <row r="16" spans="1:28" x14ac:dyDescent="0.3">
      <c r="A16" t="s">
        <v>24</v>
      </c>
      <c r="B16" s="4">
        <v>45672.072662037041</v>
      </c>
      <c r="C16" s="8" t="s">
        <v>11</v>
      </c>
      <c r="D16">
        <v>1016</v>
      </c>
      <c r="E16" s="8" t="s">
        <v>0</v>
      </c>
      <c r="F16">
        <v>3</v>
      </c>
      <c r="G16">
        <v>1355</v>
      </c>
      <c r="H16" s="8" t="str">
        <f>_xlfn.XLOOKUP(E16,Products!$A$2:$A$7,Products!$B$2:$B$7,"Not Found",0)</f>
        <v>Electronics</v>
      </c>
      <c r="I16">
        <f>_xlfn.XLOOKUP(E16,Products!$A$2:$A$7,Products!$D$2:$D$7,"Not Found", 0)</f>
        <v>463</v>
      </c>
      <c r="L16">
        <f>_xlfn.XLOOKUP(E16,Products!$A$2:$A$7,Products!$E$2:$E$7,"Not Found", 0)</f>
        <v>0.23</v>
      </c>
      <c r="M16">
        <f t="shared" si="0"/>
        <v>45688</v>
      </c>
      <c r="N16">
        <f>_xlfn.XLOOKUP(A16, Operations!$A:$A, Operations!$B:$B, 0)</f>
        <v>4</v>
      </c>
      <c r="O16">
        <f>_xlfn.XLOOKUP(A16, Operations!$A:$A, Operations!$C:$C, 0)</f>
        <v>0.06</v>
      </c>
      <c r="P16">
        <f>_xlfn.XLOOKUP(M16, Finance!$A:$A, Finance!$B:$B, 0)</f>
        <v>25640</v>
      </c>
      <c r="Q16">
        <f>_xlfn.XLOOKUP(M16, Finance!$A:$A, Finance!$C:$C, 0)</f>
        <v>60082</v>
      </c>
      <c r="R16">
        <f>_xlfn.XLOOKUP(M16, Finance!$A:$A, Finance!$D:$D, 0)</f>
        <v>21492</v>
      </c>
      <c r="S16">
        <f t="shared" si="1"/>
        <v>4065</v>
      </c>
      <c r="T16">
        <f t="shared" si="2"/>
        <v>3130.05</v>
      </c>
      <c r="U16">
        <f t="shared" si="3"/>
        <v>10</v>
      </c>
      <c r="V16">
        <f t="shared" si="4"/>
        <v>2564</v>
      </c>
      <c r="W16">
        <f t="shared" si="5"/>
        <v>6008.2</v>
      </c>
      <c r="X16">
        <f t="shared" si="6"/>
        <v>2149.1999999999998</v>
      </c>
      <c r="Y16">
        <f t="shared" si="7"/>
        <v>-8045.4</v>
      </c>
      <c r="Z16">
        <f t="shared" si="8"/>
        <v>22009</v>
      </c>
      <c r="AA16" t="str" cm="1">
        <f t="array" ref="AA16">_xlfn.IFS(Z16&gt;50000, "VIP", Z16&gt;=20000, "Regular", TRUE, "Low Value")</f>
        <v>Regular</v>
      </c>
      <c r="AB16" s="8" t="str">
        <f>INDEX(Products!$B:$B, MATCH(E16, Products!$A:$A, 0))</f>
        <v>Electronics</v>
      </c>
    </row>
    <row r="17" spans="1:28" x14ac:dyDescent="0.3">
      <c r="A17" t="s">
        <v>23</v>
      </c>
      <c r="B17" s="4">
        <v>45742.873171296298</v>
      </c>
      <c r="C17" s="8" t="s">
        <v>9</v>
      </c>
      <c r="D17">
        <v>1003</v>
      </c>
      <c r="E17" s="8" t="s">
        <v>3</v>
      </c>
      <c r="F17">
        <v>8</v>
      </c>
      <c r="G17">
        <v>1220</v>
      </c>
      <c r="H17" s="8" t="str">
        <f>_xlfn.XLOOKUP(E17,Products!$A$2:$A$7,Products!$B$2:$B$7,"Not Found",0)</f>
        <v>Office</v>
      </c>
      <c r="I17">
        <f>_xlfn.XLOOKUP(E17,Products!$A$2:$A$7,Products!$D$2:$D$7,"Not Found", 0)</f>
        <v>136</v>
      </c>
      <c r="L17">
        <f>_xlfn.XLOOKUP(E17,Products!$A$2:$A$7,Products!$E$2:$E$7,"Not Found", 0)</f>
        <v>0.1</v>
      </c>
      <c r="M17">
        <f t="shared" si="0"/>
        <v>45747</v>
      </c>
      <c r="N17">
        <f>_xlfn.XLOOKUP(A17, Operations!$A:$A, Operations!$B:$B, 0)</f>
        <v>3</v>
      </c>
      <c r="O17">
        <f>_xlfn.XLOOKUP(A17, Operations!$A:$A, Operations!$C:$C, 0)</f>
        <v>0.1</v>
      </c>
      <c r="P17">
        <f>_xlfn.XLOOKUP(M17, Finance!$A:$A, Finance!$B:$B, 0)</f>
        <v>34147</v>
      </c>
      <c r="Q17">
        <f>_xlfn.XLOOKUP(M17, Finance!$A:$A, Finance!$C:$C, 0)</f>
        <v>63890</v>
      </c>
      <c r="R17">
        <f>_xlfn.XLOOKUP(M17, Finance!$A:$A, Finance!$D:$D, 0)</f>
        <v>17738</v>
      </c>
      <c r="S17">
        <f t="shared" si="1"/>
        <v>9760</v>
      </c>
      <c r="T17">
        <f t="shared" si="2"/>
        <v>8784</v>
      </c>
      <c r="U17">
        <f t="shared" si="3"/>
        <v>10</v>
      </c>
      <c r="V17">
        <f t="shared" si="4"/>
        <v>3414.7</v>
      </c>
      <c r="W17">
        <f t="shared" si="5"/>
        <v>6389</v>
      </c>
      <c r="X17">
        <f t="shared" si="6"/>
        <v>1773.8</v>
      </c>
      <c r="Y17">
        <f t="shared" si="7"/>
        <v>-2905.5</v>
      </c>
      <c r="Z17">
        <f t="shared" si="8"/>
        <v>31251</v>
      </c>
      <c r="AA17" t="str" cm="1">
        <f t="array" ref="AA17">_xlfn.IFS(Z17&gt;50000, "VIP", Z17&gt;=20000, "Regular", TRUE, "Low Value")</f>
        <v>Regular</v>
      </c>
      <c r="AB17" s="8" t="str">
        <f>INDEX(Products!$B:$B, MATCH(E17, Products!$A:$A, 0))</f>
        <v>Office</v>
      </c>
    </row>
    <row r="18" spans="1:28" x14ac:dyDescent="0.3">
      <c r="A18" t="s">
        <v>22</v>
      </c>
      <c r="B18" s="4">
        <v>45688.213564814818</v>
      </c>
      <c r="C18" s="8" t="s">
        <v>9</v>
      </c>
      <c r="D18">
        <v>1008</v>
      </c>
      <c r="E18" s="8" t="s">
        <v>21</v>
      </c>
      <c r="F18">
        <v>3</v>
      </c>
      <c r="G18">
        <v>605</v>
      </c>
      <c r="H18" s="8" t="str">
        <f>_xlfn.XLOOKUP(E18,Products!$A$2:$A$7,Products!$B$2:$B$7,"Not Found",0)</f>
        <v>Electronics</v>
      </c>
      <c r="I18">
        <f>_xlfn.XLOOKUP(E18,Products!$A$2:$A$7,Products!$D$2:$D$7,"Not Found", 0)</f>
        <v>97</v>
      </c>
      <c r="L18">
        <f>_xlfn.XLOOKUP(E18,Products!$A$2:$A$7,Products!$E$2:$E$7,"Not Found", 0)</f>
        <v>0.08</v>
      </c>
      <c r="M18">
        <f t="shared" si="0"/>
        <v>45688</v>
      </c>
      <c r="N18">
        <f>_xlfn.XLOOKUP(A18, Operations!$A:$A, Operations!$B:$B, 0)</f>
        <v>6</v>
      </c>
      <c r="O18">
        <f>_xlfn.XLOOKUP(A18, Operations!$A:$A, Operations!$C:$C, 0)</f>
        <v>0.1</v>
      </c>
      <c r="P18">
        <f>_xlfn.XLOOKUP(M18, Finance!$A:$A, Finance!$B:$B, 0)</f>
        <v>25640</v>
      </c>
      <c r="Q18">
        <f>_xlfn.XLOOKUP(M18, Finance!$A:$A, Finance!$C:$C, 0)</f>
        <v>60082</v>
      </c>
      <c r="R18">
        <f>_xlfn.XLOOKUP(M18, Finance!$A:$A, Finance!$D:$D, 0)</f>
        <v>21492</v>
      </c>
      <c r="S18">
        <f t="shared" si="1"/>
        <v>1815</v>
      </c>
      <c r="T18">
        <f t="shared" si="2"/>
        <v>1669.8000000000002</v>
      </c>
      <c r="U18">
        <f t="shared" si="3"/>
        <v>10</v>
      </c>
      <c r="V18">
        <f t="shared" si="4"/>
        <v>2564</v>
      </c>
      <c r="W18">
        <f t="shared" si="5"/>
        <v>6008.2</v>
      </c>
      <c r="X18">
        <f t="shared" si="6"/>
        <v>2149.1999999999998</v>
      </c>
      <c r="Y18">
        <f t="shared" si="7"/>
        <v>-9197.4</v>
      </c>
      <c r="Z18">
        <f t="shared" si="8"/>
        <v>5269</v>
      </c>
      <c r="AA18" t="str" cm="1">
        <f t="array" ref="AA18">_xlfn.IFS(Z18&gt;50000, "VIP", Z18&gt;=20000, "Regular", TRUE, "Low Value")</f>
        <v>Low Value</v>
      </c>
      <c r="AB18" s="8" t="str">
        <f>INDEX(Products!$B:$B, MATCH(E18, Products!$A:$A, 0))</f>
        <v>Electronics</v>
      </c>
    </row>
    <row r="19" spans="1:28" x14ac:dyDescent="0.3">
      <c r="A19" t="s">
        <v>20</v>
      </c>
      <c r="B19" s="4">
        <v>45718.933310185188</v>
      </c>
      <c r="C19" s="8" t="s">
        <v>11</v>
      </c>
      <c r="D19">
        <v>1009</v>
      </c>
      <c r="E19" s="8" t="s">
        <v>0</v>
      </c>
      <c r="F19">
        <v>7</v>
      </c>
      <c r="G19">
        <v>1149</v>
      </c>
      <c r="H19" s="8" t="str">
        <f>_xlfn.XLOOKUP(E19,Products!$A$2:$A$7,Products!$B$2:$B$7,"Not Found",0)</f>
        <v>Electronics</v>
      </c>
      <c r="I19">
        <f>_xlfn.XLOOKUP(E19,Products!$A$2:$A$7,Products!$D$2:$D$7,"Not Found", 0)</f>
        <v>463</v>
      </c>
      <c r="L19">
        <f>_xlfn.XLOOKUP(E19,Products!$A$2:$A$7,Products!$E$2:$E$7,"Not Found", 0)</f>
        <v>0.23</v>
      </c>
      <c r="M19">
        <f t="shared" si="0"/>
        <v>45747</v>
      </c>
      <c r="N19">
        <f>_xlfn.XLOOKUP(A19, Operations!$A:$A, Operations!$B:$B, 0)</f>
        <v>9</v>
      </c>
      <c r="O19">
        <f>_xlfn.XLOOKUP(A19, Operations!$A:$A, Operations!$C:$C, 0)</f>
        <v>0.02</v>
      </c>
      <c r="P19">
        <f>_xlfn.XLOOKUP(M19, Finance!$A:$A, Finance!$B:$B, 0)</f>
        <v>34147</v>
      </c>
      <c r="Q19">
        <f>_xlfn.XLOOKUP(M19, Finance!$A:$A, Finance!$C:$C, 0)</f>
        <v>63890</v>
      </c>
      <c r="R19">
        <f>_xlfn.XLOOKUP(M19, Finance!$A:$A, Finance!$D:$D, 0)</f>
        <v>17738</v>
      </c>
      <c r="S19">
        <f t="shared" si="1"/>
        <v>8043</v>
      </c>
      <c r="T19">
        <f t="shared" si="2"/>
        <v>6193.1100000000006</v>
      </c>
      <c r="U19">
        <f t="shared" si="3"/>
        <v>10</v>
      </c>
      <c r="V19">
        <f t="shared" si="4"/>
        <v>3414.7</v>
      </c>
      <c r="W19">
        <f t="shared" si="5"/>
        <v>6389</v>
      </c>
      <c r="X19">
        <f t="shared" si="6"/>
        <v>1773.8</v>
      </c>
      <c r="Y19">
        <f t="shared" si="7"/>
        <v>-6775.5</v>
      </c>
      <c r="Z19">
        <f t="shared" si="8"/>
        <v>26022</v>
      </c>
      <c r="AA19" t="str" cm="1">
        <f t="array" ref="AA19">_xlfn.IFS(Z19&gt;50000, "VIP", Z19&gt;=20000, "Regular", TRUE, "Low Value")</f>
        <v>Regular</v>
      </c>
      <c r="AB19" s="8" t="str">
        <f>INDEX(Products!$B:$B, MATCH(E19, Products!$A:$A, 0))</f>
        <v>Electronics</v>
      </c>
    </row>
    <row r="20" spans="1:28" x14ac:dyDescent="0.3">
      <c r="A20" t="s">
        <v>19</v>
      </c>
      <c r="B20" s="4">
        <v>45696.451539351852</v>
      </c>
      <c r="C20" s="8" t="s">
        <v>9</v>
      </c>
      <c r="D20">
        <v>1010</v>
      </c>
      <c r="E20" s="8" t="s">
        <v>8</v>
      </c>
      <c r="F20">
        <v>1</v>
      </c>
      <c r="G20">
        <v>1621</v>
      </c>
      <c r="H20" s="8" t="str">
        <f>_xlfn.XLOOKUP(E20,Products!$A$2:$A$7,Products!$B$2:$B$7,"Not Found",0)</f>
        <v>Accessories</v>
      </c>
      <c r="I20">
        <f>_xlfn.XLOOKUP(E20,Products!$A$2:$A$7,Products!$D$2:$D$7,"Not Found", 0)</f>
        <v>323</v>
      </c>
      <c r="L20">
        <f>_xlfn.XLOOKUP(E20,Products!$A$2:$A$7,Products!$E$2:$E$7,"Not Found", 0)</f>
        <v>0.1</v>
      </c>
      <c r="M20">
        <f t="shared" si="0"/>
        <v>45716</v>
      </c>
      <c r="N20">
        <f>_xlfn.XLOOKUP(A20, Operations!$A:$A, Operations!$B:$B, 0)</f>
        <v>2</v>
      </c>
      <c r="O20">
        <f>_xlfn.XLOOKUP(A20, Operations!$A:$A, Operations!$C:$C, 0)</f>
        <v>0</v>
      </c>
      <c r="P20">
        <f>_xlfn.XLOOKUP(M20, Finance!$A:$A, Finance!$B:$B, 0)</f>
        <v>43320</v>
      </c>
      <c r="Q20">
        <f>_xlfn.XLOOKUP(M20, Finance!$A:$A, Finance!$C:$C, 0)</f>
        <v>70533</v>
      </c>
      <c r="R20">
        <f>_xlfn.XLOOKUP(M20, Finance!$A:$A, Finance!$D:$D, 0)</f>
        <v>27724</v>
      </c>
      <c r="S20">
        <f t="shared" si="1"/>
        <v>1621</v>
      </c>
      <c r="T20">
        <f t="shared" si="2"/>
        <v>1458.9</v>
      </c>
      <c r="U20">
        <f t="shared" si="3"/>
        <v>10</v>
      </c>
      <c r="V20">
        <f t="shared" si="4"/>
        <v>4332</v>
      </c>
      <c r="W20">
        <f t="shared" si="5"/>
        <v>7053.3</v>
      </c>
      <c r="X20">
        <f t="shared" si="6"/>
        <v>2772.4</v>
      </c>
      <c r="Y20">
        <f t="shared" si="7"/>
        <v>-12859.699999999999</v>
      </c>
      <c r="Z20">
        <f t="shared" si="8"/>
        <v>23446</v>
      </c>
      <c r="AA20" t="str" cm="1">
        <f t="array" ref="AA20">_xlfn.IFS(Z20&gt;50000, "VIP", Z20&gt;=20000, "Regular", TRUE, "Low Value")</f>
        <v>Regular</v>
      </c>
      <c r="AB20" s="8" t="str">
        <f>INDEX(Products!$B:$B, MATCH(E20, Products!$A:$A, 0))</f>
        <v>Accessories</v>
      </c>
    </row>
    <row r="21" spans="1:28" x14ac:dyDescent="0.3">
      <c r="A21" t="s">
        <v>18</v>
      </c>
      <c r="B21" s="4">
        <v>45738.816504629627</v>
      </c>
      <c r="C21" s="8" t="s">
        <v>9</v>
      </c>
      <c r="D21">
        <v>1004</v>
      </c>
      <c r="E21" s="8" t="s">
        <v>3</v>
      </c>
      <c r="F21">
        <v>3</v>
      </c>
      <c r="G21">
        <v>1010</v>
      </c>
      <c r="H21" s="8" t="str">
        <f>_xlfn.XLOOKUP(E21,Products!$A$2:$A$7,Products!$B$2:$B$7,"Not Found",0)</f>
        <v>Office</v>
      </c>
      <c r="I21">
        <f>_xlfn.XLOOKUP(E21,Products!$A$2:$A$7,Products!$D$2:$D$7,"Not Found", 0)</f>
        <v>136</v>
      </c>
      <c r="L21">
        <f>_xlfn.XLOOKUP(E21,Products!$A$2:$A$7,Products!$E$2:$E$7,"Not Found", 0)</f>
        <v>0.1</v>
      </c>
      <c r="M21">
        <f t="shared" si="0"/>
        <v>45747</v>
      </c>
      <c r="N21">
        <f>_xlfn.XLOOKUP(A21, Operations!$A:$A, Operations!$B:$B, 0)</f>
        <v>1</v>
      </c>
      <c r="O21">
        <f>_xlfn.XLOOKUP(A21, Operations!$A:$A, Operations!$C:$C, 0)</f>
        <v>0.02</v>
      </c>
      <c r="P21">
        <f>_xlfn.XLOOKUP(M21, Finance!$A:$A, Finance!$B:$B, 0)</f>
        <v>34147</v>
      </c>
      <c r="Q21">
        <f>_xlfn.XLOOKUP(M21, Finance!$A:$A, Finance!$C:$C, 0)</f>
        <v>63890</v>
      </c>
      <c r="R21">
        <f>_xlfn.XLOOKUP(M21, Finance!$A:$A, Finance!$D:$D, 0)</f>
        <v>17738</v>
      </c>
      <c r="S21">
        <f t="shared" si="1"/>
        <v>3030</v>
      </c>
      <c r="T21">
        <f t="shared" si="2"/>
        <v>2727</v>
      </c>
      <c r="U21">
        <f t="shared" si="3"/>
        <v>10</v>
      </c>
      <c r="V21">
        <f t="shared" si="4"/>
        <v>3414.7</v>
      </c>
      <c r="W21">
        <f t="shared" si="5"/>
        <v>6389</v>
      </c>
      <c r="X21">
        <f t="shared" si="6"/>
        <v>1773.8</v>
      </c>
      <c r="Y21">
        <f t="shared" si="7"/>
        <v>-8955.5</v>
      </c>
      <c r="Z21">
        <f t="shared" si="8"/>
        <v>8004</v>
      </c>
      <c r="AA21" t="str" cm="1">
        <f t="array" ref="AA21">_xlfn.IFS(Z21&gt;50000, "VIP", Z21&gt;=20000, "Regular", TRUE, "Low Value")</f>
        <v>Low Value</v>
      </c>
      <c r="AB21" s="8" t="str">
        <f>INDEX(Products!$B:$B, MATCH(E21, Products!$A:$A, 0))</f>
        <v>Office</v>
      </c>
    </row>
    <row r="22" spans="1:28" x14ac:dyDescent="0.3">
      <c r="A22" t="s">
        <v>17</v>
      </c>
      <c r="B22" s="4">
        <v>45713.211342592593</v>
      </c>
      <c r="C22" s="8" t="s">
        <v>11</v>
      </c>
      <c r="D22">
        <v>1008</v>
      </c>
      <c r="E22" s="8" t="s">
        <v>8</v>
      </c>
      <c r="F22">
        <v>7</v>
      </c>
      <c r="G22">
        <v>241</v>
      </c>
      <c r="H22" s="8" t="str">
        <f>_xlfn.XLOOKUP(E22,Products!$A$2:$A$7,Products!$B$2:$B$7,"Not Found",0)</f>
        <v>Accessories</v>
      </c>
      <c r="I22">
        <f>_xlfn.XLOOKUP(E22,Products!$A$2:$A$7,Products!$D$2:$D$7,"Not Found", 0)</f>
        <v>323</v>
      </c>
      <c r="L22">
        <f>_xlfn.XLOOKUP(E22,Products!$A$2:$A$7,Products!$E$2:$E$7,"Not Found", 0)</f>
        <v>0.1</v>
      </c>
      <c r="M22">
        <f t="shared" si="0"/>
        <v>45716</v>
      </c>
      <c r="N22">
        <f>_xlfn.XLOOKUP(A22, Operations!$A:$A, Operations!$B:$B, 0)</f>
        <v>8</v>
      </c>
      <c r="O22">
        <f>_xlfn.XLOOKUP(A22, Operations!$A:$A, Operations!$C:$C, 0)</f>
        <v>0.09</v>
      </c>
      <c r="P22">
        <f>_xlfn.XLOOKUP(M22, Finance!$A:$A, Finance!$B:$B, 0)</f>
        <v>43320</v>
      </c>
      <c r="Q22">
        <f>_xlfn.XLOOKUP(M22, Finance!$A:$A, Finance!$C:$C, 0)</f>
        <v>70533</v>
      </c>
      <c r="R22">
        <f>_xlfn.XLOOKUP(M22, Finance!$A:$A, Finance!$D:$D, 0)</f>
        <v>27724</v>
      </c>
      <c r="S22">
        <f t="shared" si="1"/>
        <v>1687</v>
      </c>
      <c r="T22">
        <f t="shared" si="2"/>
        <v>1518.3</v>
      </c>
      <c r="U22">
        <f t="shared" si="3"/>
        <v>10</v>
      </c>
      <c r="V22">
        <f t="shared" si="4"/>
        <v>4332</v>
      </c>
      <c r="W22">
        <f t="shared" si="5"/>
        <v>7053.3</v>
      </c>
      <c r="X22">
        <f t="shared" si="6"/>
        <v>2772.4</v>
      </c>
      <c r="Y22">
        <f t="shared" si="7"/>
        <v>-14731.699999999999</v>
      </c>
      <c r="Z22">
        <f t="shared" si="8"/>
        <v>5269</v>
      </c>
      <c r="AA22" t="str" cm="1">
        <f t="array" ref="AA22">_xlfn.IFS(Z22&gt;50000, "VIP", Z22&gt;=20000, "Regular", TRUE, "Low Value")</f>
        <v>Low Value</v>
      </c>
      <c r="AB22" s="8" t="str">
        <f>INDEX(Products!$B:$B, MATCH(E22, Products!$A:$A, 0))</f>
        <v>Accessories</v>
      </c>
    </row>
    <row r="23" spans="1:28" x14ac:dyDescent="0.3">
      <c r="A23" t="s">
        <v>16</v>
      </c>
      <c r="B23" s="4">
        <v>45723.977905092594</v>
      </c>
      <c r="C23" s="8" t="s">
        <v>4</v>
      </c>
      <c r="D23">
        <v>1005</v>
      </c>
      <c r="E23" s="8" t="s">
        <v>3</v>
      </c>
      <c r="F23">
        <v>7</v>
      </c>
      <c r="G23">
        <v>1336</v>
      </c>
      <c r="H23" s="8" t="str">
        <f>_xlfn.XLOOKUP(E23,Products!$A$2:$A$7,Products!$B$2:$B$7,"Not Found",0)</f>
        <v>Office</v>
      </c>
      <c r="I23">
        <f>_xlfn.XLOOKUP(E23,Products!$A$2:$A$7,Products!$D$2:$D$7,"Not Found", 0)</f>
        <v>136</v>
      </c>
      <c r="L23">
        <f>_xlfn.XLOOKUP(E23,Products!$A$2:$A$7,Products!$E$2:$E$7,"Not Found", 0)</f>
        <v>0.1</v>
      </c>
      <c r="M23">
        <f t="shared" si="0"/>
        <v>45747</v>
      </c>
      <c r="N23">
        <f>_xlfn.XLOOKUP(A23, Operations!$A:$A, Operations!$B:$B, 0)</f>
        <v>7</v>
      </c>
      <c r="O23">
        <f>_xlfn.XLOOKUP(A23, Operations!$A:$A, Operations!$C:$C, 0)</f>
        <v>0.1</v>
      </c>
      <c r="P23">
        <f>_xlfn.XLOOKUP(M23, Finance!$A:$A, Finance!$B:$B, 0)</f>
        <v>34147</v>
      </c>
      <c r="Q23">
        <f>_xlfn.XLOOKUP(M23, Finance!$A:$A, Finance!$C:$C, 0)</f>
        <v>63890</v>
      </c>
      <c r="R23">
        <f>_xlfn.XLOOKUP(M23, Finance!$A:$A, Finance!$D:$D, 0)</f>
        <v>17738</v>
      </c>
      <c r="S23">
        <f t="shared" si="1"/>
        <v>9352</v>
      </c>
      <c r="T23">
        <f t="shared" si="2"/>
        <v>8416.8000000000011</v>
      </c>
      <c r="U23">
        <f t="shared" si="3"/>
        <v>10</v>
      </c>
      <c r="V23">
        <f t="shared" si="4"/>
        <v>3414.7</v>
      </c>
      <c r="W23">
        <f t="shared" si="5"/>
        <v>6389</v>
      </c>
      <c r="X23">
        <f t="shared" si="6"/>
        <v>1773.8</v>
      </c>
      <c r="Y23">
        <f t="shared" si="7"/>
        <v>-3177.5</v>
      </c>
      <c r="Z23">
        <f t="shared" si="8"/>
        <v>24821</v>
      </c>
      <c r="AA23" t="str" cm="1">
        <f t="array" ref="AA23">_xlfn.IFS(Z23&gt;50000, "VIP", Z23&gt;=20000, "Regular", TRUE, "Low Value")</f>
        <v>Regular</v>
      </c>
      <c r="AB23" s="8" t="str">
        <f>INDEX(Products!$B:$B, MATCH(E23, Products!$A:$A, 0))</f>
        <v>Office</v>
      </c>
    </row>
    <row r="24" spans="1:28" x14ac:dyDescent="0.3">
      <c r="A24" t="s">
        <v>15</v>
      </c>
      <c r="B24" s="4">
        <v>45662.648842592593</v>
      </c>
      <c r="C24" s="8" t="s">
        <v>4</v>
      </c>
      <c r="D24">
        <v>1006</v>
      </c>
      <c r="E24" s="8" t="s">
        <v>14</v>
      </c>
      <c r="F24">
        <v>3</v>
      </c>
      <c r="G24">
        <v>1752</v>
      </c>
      <c r="H24" s="8" t="str">
        <f>_xlfn.XLOOKUP(E24,Products!$A$2:$A$7,Products!$B$2:$B$7,"Not Found",0)</f>
        <v>Electronics</v>
      </c>
      <c r="I24">
        <f>_xlfn.XLOOKUP(E24,Products!$A$2:$A$7,Products!$D$2:$D$7,"Not Found", 0)</f>
        <v>469</v>
      </c>
      <c r="L24">
        <f>_xlfn.XLOOKUP(E24,Products!$A$2:$A$7,Products!$E$2:$E$7,"Not Found", 0)</f>
        <v>0.22</v>
      </c>
      <c r="M24">
        <f t="shared" si="0"/>
        <v>45688</v>
      </c>
      <c r="N24">
        <f>_xlfn.XLOOKUP(A24, Operations!$A:$A, Operations!$B:$B, 0)</f>
        <v>3</v>
      </c>
      <c r="O24">
        <f>_xlfn.XLOOKUP(A24, Operations!$A:$A, Operations!$C:$C, 0)</f>
        <v>0.02</v>
      </c>
      <c r="P24">
        <f>_xlfn.XLOOKUP(M24, Finance!$A:$A, Finance!$B:$B, 0)</f>
        <v>25640</v>
      </c>
      <c r="Q24">
        <f>_xlfn.XLOOKUP(M24, Finance!$A:$A, Finance!$C:$C, 0)</f>
        <v>60082</v>
      </c>
      <c r="R24">
        <f>_xlfn.XLOOKUP(M24, Finance!$A:$A, Finance!$D:$D, 0)</f>
        <v>21492</v>
      </c>
      <c r="S24">
        <f t="shared" si="1"/>
        <v>5256</v>
      </c>
      <c r="T24">
        <f t="shared" si="2"/>
        <v>4099.68</v>
      </c>
      <c r="U24">
        <f t="shared" si="3"/>
        <v>10</v>
      </c>
      <c r="V24">
        <f t="shared" si="4"/>
        <v>2564</v>
      </c>
      <c r="W24">
        <f t="shared" si="5"/>
        <v>6008.2</v>
      </c>
      <c r="X24">
        <f t="shared" si="6"/>
        <v>2149.1999999999998</v>
      </c>
      <c r="Y24">
        <f t="shared" si="7"/>
        <v>-6872.4</v>
      </c>
      <c r="Z24">
        <f t="shared" si="8"/>
        <v>34295</v>
      </c>
      <c r="AA24" t="str" cm="1">
        <f t="array" ref="AA24">_xlfn.IFS(Z24&gt;50000, "VIP", Z24&gt;=20000, "Regular", TRUE, "Low Value")</f>
        <v>Regular</v>
      </c>
      <c r="AB24" s="8" t="str">
        <f>INDEX(Products!$B:$B, MATCH(E24, Products!$A:$A, 0))</f>
        <v>Electronics</v>
      </c>
    </row>
    <row r="25" spans="1:28" x14ac:dyDescent="0.3">
      <c r="A25" t="s">
        <v>13</v>
      </c>
      <c r="B25" s="4">
        <v>45715.878263888888</v>
      </c>
      <c r="C25" s="8" t="s">
        <v>1</v>
      </c>
      <c r="D25">
        <v>1020</v>
      </c>
      <c r="E25" s="8" t="s">
        <v>8</v>
      </c>
      <c r="F25">
        <v>8</v>
      </c>
      <c r="G25">
        <v>911</v>
      </c>
      <c r="H25" s="8" t="str">
        <f>_xlfn.XLOOKUP(E25,Products!$A$2:$A$7,Products!$B$2:$B$7,"Not Found",0)</f>
        <v>Accessories</v>
      </c>
      <c r="I25">
        <f>_xlfn.XLOOKUP(E25,Products!$A$2:$A$7,Products!$D$2:$D$7,"Not Found", 0)</f>
        <v>323</v>
      </c>
      <c r="L25">
        <f>_xlfn.XLOOKUP(E25,Products!$A$2:$A$7,Products!$E$2:$E$7,"Not Found", 0)</f>
        <v>0.1</v>
      </c>
      <c r="M25">
        <f t="shared" si="0"/>
        <v>45716</v>
      </c>
      <c r="N25">
        <f>_xlfn.XLOOKUP(A25, Operations!$A:$A, Operations!$B:$B, 0)</f>
        <v>1</v>
      </c>
      <c r="O25">
        <f>_xlfn.XLOOKUP(A25, Operations!$A:$A, Operations!$C:$C, 0)</f>
        <v>0.04</v>
      </c>
      <c r="P25">
        <f>_xlfn.XLOOKUP(M25, Finance!$A:$A, Finance!$B:$B, 0)</f>
        <v>43320</v>
      </c>
      <c r="Q25">
        <f>_xlfn.XLOOKUP(M25, Finance!$A:$A, Finance!$C:$C, 0)</f>
        <v>70533</v>
      </c>
      <c r="R25">
        <f>_xlfn.XLOOKUP(M25, Finance!$A:$A, Finance!$D:$D, 0)</f>
        <v>27724</v>
      </c>
      <c r="S25">
        <f t="shared" si="1"/>
        <v>7288</v>
      </c>
      <c r="T25">
        <f t="shared" si="2"/>
        <v>6559.2</v>
      </c>
      <c r="U25">
        <f t="shared" si="3"/>
        <v>10</v>
      </c>
      <c r="V25">
        <f t="shared" si="4"/>
        <v>4332</v>
      </c>
      <c r="W25">
        <f t="shared" si="5"/>
        <v>7053.3</v>
      </c>
      <c r="X25">
        <f t="shared" si="6"/>
        <v>2772.4</v>
      </c>
      <c r="Y25">
        <f t="shared" si="7"/>
        <v>-9453.7000000000007</v>
      </c>
      <c r="Z25">
        <f t="shared" si="8"/>
        <v>21494</v>
      </c>
      <c r="AA25" t="str" cm="1">
        <f t="array" ref="AA25">_xlfn.IFS(Z25&gt;50000, "VIP", Z25&gt;=20000, "Regular", TRUE, "Low Value")</f>
        <v>Regular</v>
      </c>
      <c r="AB25" s="8" t="str">
        <f>INDEX(Products!$B:$B, MATCH(E25, Products!$A:$A, 0))</f>
        <v>Accessories</v>
      </c>
    </row>
    <row r="26" spans="1:28" x14ac:dyDescent="0.3">
      <c r="A26" t="s">
        <v>12</v>
      </c>
      <c r="B26" s="4">
        <v>45710.772175925929</v>
      </c>
      <c r="C26" s="8" t="s">
        <v>11</v>
      </c>
      <c r="D26">
        <v>1007</v>
      </c>
      <c r="E26" s="8" t="s">
        <v>0</v>
      </c>
      <c r="F26">
        <v>8</v>
      </c>
      <c r="G26">
        <v>1770</v>
      </c>
      <c r="H26" s="8" t="str">
        <f>_xlfn.XLOOKUP(E26,Products!$A$2:$A$7,Products!$B$2:$B$7,"Not Found",0)</f>
        <v>Electronics</v>
      </c>
      <c r="I26">
        <f>_xlfn.XLOOKUP(E26,Products!$A$2:$A$7,Products!$D$2:$D$7,"Not Found", 0)</f>
        <v>463</v>
      </c>
      <c r="L26">
        <f>_xlfn.XLOOKUP(E26,Products!$A$2:$A$7,Products!$E$2:$E$7,"Not Found", 0)</f>
        <v>0.23</v>
      </c>
      <c r="M26">
        <f t="shared" si="0"/>
        <v>45716</v>
      </c>
      <c r="N26">
        <f>_xlfn.XLOOKUP(A26, Operations!$A:$A, Operations!$B:$B, 0)</f>
        <v>9</v>
      </c>
      <c r="O26">
        <f>_xlfn.XLOOKUP(A26, Operations!$A:$A, Operations!$C:$C, 0)</f>
        <v>0.05</v>
      </c>
      <c r="P26">
        <f>_xlfn.XLOOKUP(M26, Finance!$A:$A, Finance!$B:$B, 0)</f>
        <v>43320</v>
      </c>
      <c r="Q26">
        <f>_xlfn.XLOOKUP(M26, Finance!$A:$A, Finance!$C:$C, 0)</f>
        <v>70533</v>
      </c>
      <c r="R26">
        <f>_xlfn.XLOOKUP(M26, Finance!$A:$A, Finance!$D:$D, 0)</f>
        <v>27724</v>
      </c>
      <c r="S26">
        <f t="shared" si="1"/>
        <v>14160</v>
      </c>
      <c r="T26">
        <f t="shared" si="2"/>
        <v>10903.2</v>
      </c>
      <c r="U26">
        <f t="shared" si="3"/>
        <v>10</v>
      </c>
      <c r="V26">
        <f t="shared" si="4"/>
        <v>4332</v>
      </c>
      <c r="W26">
        <f t="shared" si="5"/>
        <v>7053.3</v>
      </c>
      <c r="X26">
        <f t="shared" si="6"/>
        <v>2772.4</v>
      </c>
      <c r="Y26">
        <f t="shared" si="7"/>
        <v>-3701.7000000000003</v>
      </c>
      <c r="Z26">
        <f t="shared" si="8"/>
        <v>29517</v>
      </c>
      <c r="AA26" t="str" cm="1">
        <f t="array" ref="AA26">_xlfn.IFS(Z26&gt;50000, "VIP", Z26&gt;=20000, "Regular", TRUE, "Low Value")</f>
        <v>Regular</v>
      </c>
      <c r="AB26" s="8" t="str">
        <f>INDEX(Products!$B:$B, MATCH(E26, Products!$A:$A, 0))</f>
        <v>Electronics</v>
      </c>
    </row>
    <row r="27" spans="1:28" x14ac:dyDescent="0.3">
      <c r="A27" t="s">
        <v>10</v>
      </c>
      <c r="B27" s="4">
        <v>45660.179594907408</v>
      </c>
      <c r="C27" s="8" t="s">
        <v>9</v>
      </c>
      <c r="D27">
        <v>1009</v>
      </c>
      <c r="E27" s="8" t="s">
        <v>8</v>
      </c>
      <c r="F27">
        <v>1</v>
      </c>
      <c r="G27">
        <v>1841</v>
      </c>
      <c r="H27" s="8" t="str">
        <f>_xlfn.XLOOKUP(E27,Products!$A$2:$A$7,Products!$B$2:$B$7,"Not Found",0)</f>
        <v>Accessories</v>
      </c>
      <c r="I27">
        <f>_xlfn.XLOOKUP(E27,Products!$A$2:$A$7,Products!$D$2:$D$7,"Not Found", 0)</f>
        <v>323</v>
      </c>
      <c r="L27">
        <f>_xlfn.XLOOKUP(E27,Products!$A$2:$A$7,Products!$E$2:$E$7,"Not Found", 0)</f>
        <v>0.1</v>
      </c>
      <c r="M27">
        <f t="shared" si="0"/>
        <v>45688</v>
      </c>
      <c r="N27">
        <f>_xlfn.XLOOKUP(A27, Operations!$A:$A, Operations!$B:$B, 0)</f>
        <v>3</v>
      </c>
      <c r="O27">
        <f>_xlfn.XLOOKUP(A27, Operations!$A:$A, Operations!$C:$C, 0)</f>
        <v>0.03</v>
      </c>
      <c r="P27">
        <f>_xlfn.XLOOKUP(M27, Finance!$A:$A, Finance!$B:$B, 0)</f>
        <v>25640</v>
      </c>
      <c r="Q27">
        <f>_xlfn.XLOOKUP(M27, Finance!$A:$A, Finance!$C:$C, 0)</f>
        <v>60082</v>
      </c>
      <c r="R27">
        <f>_xlfn.XLOOKUP(M27, Finance!$A:$A, Finance!$D:$D, 0)</f>
        <v>21492</v>
      </c>
      <c r="S27">
        <f t="shared" si="1"/>
        <v>1841</v>
      </c>
      <c r="T27">
        <f t="shared" si="2"/>
        <v>1656.9</v>
      </c>
      <c r="U27">
        <f t="shared" si="3"/>
        <v>10</v>
      </c>
      <c r="V27">
        <f t="shared" si="4"/>
        <v>2564</v>
      </c>
      <c r="W27">
        <f t="shared" si="5"/>
        <v>6008.2</v>
      </c>
      <c r="X27">
        <f t="shared" si="6"/>
        <v>2149.1999999999998</v>
      </c>
      <c r="Y27">
        <f t="shared" si="7"/>
        <v>-9203.4</v>
      </c>
      <c r="Z27">
        <f t="shared" si="8"/>
        <v>26022</v>
      </c>
      <c r="AA27" t="str" cm="1">
        <f t="array" ref="AA27">_xlfn.IFS(Z27&gt;50000, "VIP", Z27&gt;=20000, "Regular", TRUE, "Low Value")</f>
        <v>Regular</v>
      </c>
      <c r="AB27" s="8" t="str">
        <f>INDEX(Products!$B:$B, MATCH(E27, Products!$A:$A, 0))</f>
        <v>Accessories</v>
      </c>
    </row>
    <row r="28" spans="1:28" x14ac:dyDescent="0.3">
      <c r="A28" t="s">
        <v>7</v>
      </c>
      <c r="B28" s="4">
        <v>45718.188310185193</v>
      </c>
      <c r="C28" s="8" t="s">
        <v>1</v>
      </c>
      <c r="D28">
        <v>1001</v>
      </c>
      <c r="E28" s="8" t="s">
        <v>0</v>
      </c>
      <c r="F28">
        <v>7</v>
      </c>
      <c r="G28">
        <v>796</v>
      </c>
      <c r="H28" s="8" t="str">
        <f>_xlfn.XLOOKUP(E28,Products!$A$2:$A$7,Products!$B$2:$B$7,"Not Found",0)</f>
        <v>Electronics</v>
      </c>
      <c r="I28">
        <f>_xlfn.XLOOKUP(E28,Products!$A$2:$A$7,Products!$D$2:$D$7,"Not Found", 0)</f>
        <v>463</v>
      </c>
      <c r="L28">
        <f>_xlfn.XLOOKUP(E28,Products!$A$2:$A$7,Products!$E$2:$E$7,"Not Found", 0)</f>
        <v>0.23</v>
      </c>
      <c r="M28">
        <f t="shared" si="0"/>
        <v>45747</v>
      </c>
      <c r="N28">
        <f>_xlfn.XLOOKUP(A28, Operations!$A:$A, Operations!$B:$B, 0)</f>
        <v>6</v>
      </c>
      <c r="O28">
        <f>_xlfn.XLOOKUP(A28, Operations!$A:$A, Operations!$C:$C, 0)</f>
        <v>0.05</v>
      </c>
      <c r="P28">
        <f>_xlfn.XLOOKUP(M28, Finance!$A:$A, Finance!$B:$B, 0)</f>
        <v>34147</v>
      </c>
      <c r="Q28">
        <f>_xlfn.XLOOKUP(M28, Finance!$A:$A, Finance!$C:$C, 0)</f>
        <v>63890</v>
      </c>
      <c r="R28">
        <f>_xlfn.XLOOKUP(M28, Finance!$A:$A, Finance!$D:$D, 0)</f>
        <v>17738</v>
      </c>
      <c r="S28">
        <f t="shared" si="1"/>
        <v>5572</v>
      </c>
      <c r="T28">
        <f t="shared" si="2"/>
        <v>4290.4400000000005</v>
      </c>
      <c r="U28">
        <f t="shared" si="3"/>
        <v>10</v>
      </c>
      <c r="V28">
        <f t="shared" si="4"/>
        <v>3414.7</v>
      </c>
      <c r="W28">
        <f t="shared" si="5"/>
        <v>6389</v>
      </c>
      <c r="X28">
        <f t="shared" si="6"/>
        <v>1773.8</v>
      </c>
      <c r="Y28">
        <f t="shared" si="7"/>
        <v>-9246.5</v>
      </c>
      <c r="Z28">
        <f t="shared" si="8"/>
        <v>23279</v>
      </c>
      <c r="AA28" t="str" cm="1">
        <f t="array" ref="AA28">_xlfn.IFS(Z28&gt;50000, "VIP", Z28&gt;=20000, "Regular", TRUE, "Low Value")</f>
        <v>Regular</v>
      </c>
      <c r="AB28" s="8" t="str">
        <f>INDEX(Products!$B:$B, MATCH(E28, Products!$A:$A, 0))</f>
        <v>Electronics</v>
      </c>
    </row>
    <row r="29" spans="1:28" x14ac:dyDescent="0.3">
      <c r="A29" t="s">
        <v>6</v>
      </c>
      <c r="B29" s="4">
        <v>45685.123541666668</v>
      </c>
      <c r="C29" s="8" t="s">
        <v>4</v>
      </c>
      <c r="D29">
        <v>1003</v>
      </c>
      <c r="E29" s="8" t="s">
        <v>0</v>
      </c>
      <c r="F29">
        <v>6</v>
      </c>
      <c r="G29">
        <v>1011</v>
      </c>
      <c r="H29" s="8" t="str">
        <f>_xlfn.XLOOKUP(E29,Products!$A$2:$A$7,Products!$B$2:$B$7,"Not Found",0)</f>
        <v>Electronics</v>
      </c>
      <c r="I29">
        <f>_xlfn.XLOOKUP(E29,Products!$A$2:$A$7,Products!$D$2:$D$7,"Not Found", 0)</f>
        <v>463</v>
      </c>
      <c r="L29">
        <f>_xlfn.XLOOKUP(E29,Products!$A$2:$A$7,Products!$E$2:$E$7,"Not Found", 0)</f>
        <v>0.23</v>
      </c>
      <c r="M29">
        <f t="shared" si="0"/>
        <v>45688</v>
      </c>
      <c r="N29">
        <f>_xlfn.XLOOKUP(A29, Operations!$A:$A, Operations!$B:$B, 0)</f>
        <v>2</v>
      </c>
      <c r="O29">
        <f>_xlfn.XLOOKUP(A29, Operations!$A:$A, Operations!$C:$C, 0)</f>
        <v>7.0000000000000007E-2</v>
      </c>
      <c r="P29">
        <f>_xlfn.XLOOKUP(M29, Finance!$A:$A, Finance!$B:$B, 0)</f>
        <v>25640</v>
      </c>
      <c r="Q29">
        <f>_xlfn.XLOOKUP(M29, Finance!$A:$A, Finance!$C:$C, 0)</f>
        <v>60082</v>
      </c>
      <c r="R29">
        <f>_xlfn.XLOOKUP(M29, Finance!$A:$A, Finance!$D:$D, 0)</f>
        <v>21492</v>
      </c>
      <c r="S29">
        <f t="shared" si="1"/>
        <v>6066</v>
      </c>
      <c r="T29">
        <f t="shared" si="2"/>
        <v>4670.82</v>
      </c>
      <c r="U29">
        <f t="shared" si="3"/>
        <v>10</v>
      </c>
      <c r="V29">
        <f t="shared" si="4"/>
        <v>2564</v>
      </c>
      <c r="W29">
        <f t="shared" si="5"/>
        <v>6008.2</v>
      </c>
      <c r="X29">
        <f t="shared" si="6"/>
        <v>2149.1999999999998</v>
      </c>
      <c r="Y29">
        <f t="shared" si="7"/>
        <v>-7433.4</v>
      </c>
      <c r="Z29">
        <f t="shared" si="8"/>
        <v>31251</v>
      </c>
      <c r="AA29" t="str" cm="1">
        <f t="array" ref="AA29">_xlfn.IFS(Z29&gt;50000, "VIP", Z29&gt;=20000, "Regular", TRUE, "Low Value")</f>
        <v>Regular</v>
      </c>
      <c r="AB29" s="8" t="str">
        <f>INDEX(Products!$B:$B, MATCH(E29, Products!$A:$A, 0))</f>
        <v>Electronics</v>
      </c>
    </row>
    <row r="30" spans="1:28" x14ac:dyDescent="0.3">
      <c r="A30" t="s">
        <v>5</v>
      </c>
      <c r="B30" s="4">
        <v>45722.085451388892</v>
      </c>
      <c r="C30" s="8" t="s">
        <v>4</v>
      </c>
      <c r="D30">
        <v>1011</v>
      </c>
      <c r="E30" s="8" t="s">
        <v>3</v>
      </c>
      <c r="F30">
        <v>2</v>
      </c>
      <c r="G30">
        <v>1660</v>
      </c>
      <c r="H30" s="8" t="str">
        <f>_xlfn.XLOOKUP(E30,Products!$A$2:$A$7,Products!$B$2:$B$7,"Not Found",0)</f>
        <v>Office</v>
      </c>
      <c r="I30">
        <f>_xlfn.XLOOKUP(E30,Products!$A$2:$A$7,Products!$D$2:$D$7,"Not Found", 0)</f>
        <v>136</v>
      </c>
      <c r="L30">
        <f>_xlfn.XLOOKUP(E30,Products!$A$2:$A$7,Products!$E$2:$E$7,"Not Found", 0)</f>
        <v>0.1</v>
      </c>
      <c r="M30">
        <f t="shared" si="0"/>
        <v>45747</v>
      </c>
      <c r="N30">
        <f>_xlfn.XLOOKUP(A30, Operations!$A:$A, Operations!$B:$B, 0)</f>
        <v>9</v>
      </c>
      <c r="O30">
        <f>_xlfn.XLOOKUP(A30, Operations!$A:$A, Operations!$C:$C, 0)</f>
        <v>0.05</v>
      </c>
      <c r="P30">
        <f>_xlfn.XLOOKUP(M30, Finance!$A:$A, Finance!$B:$B, 0)</f>
        <v>34147</v>
      </c>
      <c r="Q30">
        <f>_xlfn.XLOOKUP(M30, Finance!$A:$A, Finance!$C:$C, 0)</f>
        <v>63890</v>
      </c>
      <c r="R30">
        <f>_xlfn.XLOOKUP(M30, Finance!$A:$A, Finance!$D:$D, 0)</f>
        <v>17738</v>
      </c>
      <c r="S30">
        <f t="shared" si="1"/>
        <v>3320</v>
      </c>
      <c r="T30">
        <f t="shared" si="2"/>
        <v>2988</v>
      </c>
      <c r="U30">
        <f t="shared" si="3"/>
        <v>10</v>
      </c>
      <c r="V30">
        <f t="shared" si="4"/>
        <v>3414.7</v>
      </c>
      <c r="W30">
        <f t="shared" si="5"/>
        <v>6389</v>
      </c>
      <c r="X30">
        <f t="shared" si="6"/>
        <v>1773.8</v>
      </c>
      <c r="Y30">
        <f t="shared" si="7"/>
        <v>-8529.5</v>
      </c>
      <c r="Z30">
        <f t="shared" si="8"/>
        <v>17906</v>
      </c>
      <c r="AA30" t="str" cm="1">
        <f t="array" ref="AA30">_xlfn.IFS(Z30&gt;50000, "VIP", Z30&gt;=20000, "Regular", TRUE, "Low Value")</f>
        <v>Low Value</v>
      </c>
      <c r="AB30" s="8" t="str">
        <f>INDEX(Products!$B:$B, MATCH(E30, Products!$A:$A, 0))</f>
        <v>Office</v>
      </c>
    </row>
    <row r="31" spans="1:28" x14ac:dyDescent="0.3">
      <c r="A31" t="s">
        <v>2</v>
      </c>
      <c r="B31" s="4">
        <v>45666.62767361111</v>
      </c>
      <c r="C31" s="8" t="s">
        <v>1</v>
      </c>
      <c r="D31">
        <v>1016</v>
      </c>
      <c r="E31" s="8" t="s">
        <v>0</v>
      </c>
      <c r="F31">
        <v>5</v>
      </c>
      <c r="G31">
        <v>1119</v>
      </c>
      <c r="H31" s="8" t="str">
        <f>_xlfn.XLOOKUP(E31,Products!$A$2:$A$7,Products!$B$2:$B$7,"Not Found",0)</f>
        <v>Electronics</v>
      </c>
      <c r="I31">
        <f>_xlfn.XLOOKUP(E31,Products!$A$2:$A$7,Products!$D$2:$D$7,"Not Found", 0)</f>
        <v>463</v>
      </c>
      <c r="L31">
        <f>_xlfn.XLOOKUP(E31,Products!$A$2:$A$7,Products!$E$2:$E$7,"Not Found", 0)</f>
        <v>0.23</v>
      </c>
      <c r="M31">
        <f t="shared" si="0"/>
        <v>45688</v>
      </c>
      <c r="N31">
        <f>_xlfn.XLOOKUP(A31, Operations!$A:$A, Operations!$B:$B, 0)</f>
        <v>2</v>
      </c>
      <c r="O31">
        <f>_xlfn.XLOOKUP(A31, Operations!$A:$A, Operations!$C:$C, 0)</f>
        <v>7.0000000000000007E-2</v>
      </c>
      <c r="P31">
        <f>_xlfn.XLOOKUP(M31, Finance!$A:$A, Finance!$B:$B, 0)</f>
        <v>25640</v>
      </c>
      <c r="Q31">
        <f>_xlfn.XLOOKUP(M31, Finance!$A:$A, Finance!$C:$C, 0)</f>
        <v>60082</v>
      </c>
      <c r="R31">
        <f>_xlfn.XLOOKUP(M31, Finance!$A:$A, Finance!$D:$D, 0)</f>
        <v>21492</v>
      </c>
      <c r="S31">
        <f t="shared" si="1"/>
        <v>5595</v>
      </c>
      <c r="T31">
        <f t="shared" si="2"/>
        <v>4308.1500000000005</v>
      </c>
      <c r="U31">
        <f t="shared" si="3"/>
        <v>10</v>
      </c>
      <c r="V31">
        <f t="shared" si="4"/>
        <v>2564</v>
      </c>
      <c r="W31">
        <f t="shared" si="5"/>
        <v>6008.2</v>
      </c>
      <c r="X31">
        <f t="shared" si="6"/>
        <v>2149.1999999999998</v>
      </c>
      <c r="Y31">
        <f t="shared" si="7"/>
        <v>-7441.4</v>
      </c>
      <c r="Z31">
        <f t="shared" si="8"/>
        <v>22009</v>
      </c>
      <c r="AA31" t="str" cm="1">
        <f t="array" ref="AA31">_xlfn.IFS(Z31&gt;50000, "VIP", Z31&gt;=20000, "Regular", TRUE, "Low Value")</f>
        <v>Regular</v>
      </c>
      <c r="AB31" s="8" t="str">
        <f>INDEX(Products!$B:$B, MATCH(E31, Products!$A:$A, 0))</f>
        <v>Electronics</v>
      </c>
    </row>
    <row r="32" spans="1:28" x14ac:dyDescent="0.3">
      <c r="A32" t="s">
        <v>76</v>
      </c>
      <c r="B32" s="4">
        <v>45839.827893518523</v>
      </c>
      <c r="C32" s="8" t="s">
        <v>9</v>
      </c>
      <c r="D32">
        <v>1001</v>
      </c>
      <c r="E32" s="8" t="s">
        <v>0</v>
      </c>
      <c r="F32">
        <v>4</v>
      </c>
      <c r="G32">
        <v>160</v>
      </c>
      <c r="H32" s="8" t="str">
        <f>_xlfn.XLOOKUP(E32,Products!$A$2:$A$7,Products!$B$2:$B$7,"Not Found",0)</f>
        <v>Electronics</v>
      </c>
      <c r="I32">
        <f>_xlfn.XLOOKUP(E32,Products!$A$2:$A$7,Products!$D$2:$D$7,"Not Found", 0)</f>
        <v>463</v>
      </c>
      <c r="L32">
        <f>_xlfn.XLOOKUP(E32,Products!$A$2:$A$7,Products!$E$2:$E$7,"Not Found", 0)</f>
        <v>0.23</v>
      </c>
      <c r="M32">
        <f t="shared" si="0"/>
        <v>45869</v>
      </c>
      <c r="N32">
        <f>_xlfn.XLOOKUP(A32, Operations!$A:$A, Operations!$B:$B, 0)</f>
        <v>3</v>
      </c>
      <c r="O32">
        <f>_xlfn.XLOOKUP(A32, Operations!$A:$A, Operations!$C:$C, 0)</f>
        <v>0.06</v>
      </c>
      <c r="P32">
        <f>_xlfn.XLOOKUP(M32, Finance!$A:$A, Finance!$B:$B, 0)</f>
        <v>36304</v>
      </c>
      <c r="Q32">
        <f>_xlfn.XLOOKUP(M32, Finance!$A:$A, Finance!$C:$C, 0)</f>
        <v>63297</v>
      </c>
      <c r="R32">
        <f>_xlfn.XLOOKUP(M32, Finance!$A:$A, Finance!$D:$D, 0)</f>
        <v>25453</v>
      </c>
      <c r="S32">
        <f t="shared" si="1"/>
        <v>640</v>
      </c>
      <c r="T32">
        <f t="shared" si="2"/>
        <v>492.8</v>
      </c>
      <c r="U32">
        <f t="shared" si="3"/>
        <v>12</v>
      </c>
      <c r="V32">
        <f t="shared" si="4"/>
        <v>3025.3333333333335</v>
      </c>
      <c r="W32">
        <f t="shared" si="5"/>
        <v>5274.75</v>
      </c>
      <c r="X32">
        <f t="shared" si="6"/>
        <v>2121.0833333333335</v>
      </c>
      <c r="Y32">
        <f t="shared" si="7"/>
        <v>-11633.166666666668</v>
      </c>
      <c r="Z32">
        <f t="shared" si="8"/>
        <v>23279</v>
      </c>
      <c r="AA32" t="str" cm="1">
        <f t="array" ref="AA32">_xlfn.IFS(Z32&gt;50000, "VIP", Z32&gt;=20000, "Regular", TRUE, "Low Value")</f>
        <v>Regular</v>
      </c>
      <c r="AB32" s="8" t="str">
        <f>INDEX(Products!$B:$B, MATCH(E32, Products!$A:$A, 0))</f>
        <v>Electronics</v>
      </c>
    </row>
    <row r="33" spans="1:28" x14ac:dyDescent="0.3">
      <c r="A33" t="s">
        <v>75</v>
      </c>
      <c r="B33" s="4">
        <v>45859.499537037038</v>
      </c>
      <c r="C33" s="8" t="s">
        <v>11</v>
      </c>
      <c r="D33">
        <v>1001</v>
      </c>
      <c r="E33" s="8" t="s">
        <v>0</v>
      </c>
      <c r="F33">
        <v>1</v>
      </c>
      <c r="G33">
        <v>233</v>
      </c>
      <c r="H33" s="8" t="str">
        <f>_xlfn.XLOOKUP(E33,Products!$A$2:$A$7,Products!$B$2:$B$7,"Not Found",0)</f>
        <v>Electronics</v>
      </c>
      <c r="I33">
        <f>_xlfn.XLOOKUP(E33,Products!$A$2:$A$7,Products!$D$2:$D$7,"Not Found", 0)</f>
        <v>463</v>
      </c>
      <c r="L33">
        <f>_xlfn.XLOOKUP(E33,Products!$A$2:$A$7,Products!$E$2:$E$7,"Not Found", 0)</f>
        <v>0.23</v>
      </c>
      <c r="M33">
        <f t="shared" si="0"/>
        <v>45869</v>
      </c>
      <c r="N33">
        <f>_xlfn.XLOOKUP(A33, Operations!$A:$A, Operations!$B:$B, 0)</f>
        <v>4</v>
      </c>
      <c r="O33">
        <f>_xlfn.XLOOKUP(A33, Operations!$A:$A, Operations!$C:$C, 0)</f>
        <v>7.0000000000000007E-2</v>
      </c>
      <c r="P33">
        <f>_xlfn.XLOOKUP(M33, Finance!$A:$A, Finance!$B:$B, 0)</f>
        <v>36304</v>
      </c>
      <c r="Q33">
        <f>_xlfn.XLOOKUP(M33, Finance!$A:$A, Finance!$C:$C, 0)</f>
        <v>63297</v>
      </c>
      <c r="R33">
        <f>_xlfn.XLOOKUP(M33, Finance!$A:$A, Finance!$D:$D, 0)</f>
        <v>25453</v>
      </c>
      <c r="S33">
        <f t="shared" si="1"/>
        <v>233</v>
      </c>
      <c r="T33">
        <f t="shared" si="2"/>
        <v>179.41</v>
      </c>
      <c r="U33">
        <f t="shared" si="3"/>
        <v>12</v>
      </c>
      <c r="V33">
        <f t="shared" si="4"/>
        <v>3025.3333333333335</v>
      </c>
      <c r="W33">
        <f t="shared" si="5"/>
        <v>5274.75</v>
      </c>
      <c r="X33">
        <f t="shared" si="6"/>
        <v>2121.0833333333335</v>
      </c>
      <c r="Y33">
        <f t="shared" si="7"/>
        <v>-10651.166666666668</v>
      </c>
      <c r="Z33">
        <f t="shared" si="8"/>
        <v>23279</v>
      </c>
      <c r="AA33" t="str" cm="1">
        <f t="array" ref="AA33">_xlfn.IFS(Z33&gt;50000, "VIP", Z33&gt;=20000, "Regular", TRUE, "Low Value")</f>
        <v>Regular</v>
      </c>
      <c r="AB33" s="8" t="str">
        <f>INDEX(Products!$B:$B, MATCH(E33, Products!$A:$A, 0))</f>
        <v>Electronics</v>
      </c>
    </row>
    <row r="34" spans="1:28" x14ac:dyDescent="0.3">
      <c r="A34" t="s">
        <v>74</v>
      </c>
      <c r="B34" s="4">
        <v>45894.505104166667</v>
      </c>
      <c r="C34" s="8" t="s">
        <v>4</v>
      </c>
      <c r="D34">
        <v>1010</v>
      </c>
      <c r="E34" s="8" t="s">
        <v>21</v>
      </c>
      <c r="F34">
        <v>9</v>
      </c>
      <c r="G34">
        <v>312</v>
      </c>
      <c r="H34" s="8" t="str">
        <f>_xlfn.XLOOKUP(E34,Products!$A$2:$A$7,Products!$B$2:$B$7,"Not Found",0)</f>
        <v>Electronics</v>
      </c>
      <c r="I34">
        <f>_xlfn.XLOOKUP(E34,Products!$A$2:$A$7,Products!$D$2:$D$7,"Not Found", 0)</f>
        <v>97</v>
      </c>
      <c r="L34">
        <f>_xlfn.XLOOKUP(E34,Products!$A$2:$A$7,Products!$E$2:$E$7,"Not Found", 0)</f>
        <v>0.08</v>
      </c>
      <c r="M34">
        <f t="shared" ref="M34:M65" si="9">EOMONTH(B34,0)</f>
        <v>45900</v>
      </c>
      <c r="N34">
        <f>_xlfn.XLOOKUP(A34, Operations!$A:$A, Operations!$B:$B, 0)</f>
        <v>6</v>
      </c>
      <c r="O34">
        <f>_xlfn.XLOOKUP(A34, Operations!$A:$A, Operations!$C:$C, 0)</f>
        <v>0.05</v>
      </c>
      <c r="P34">
        <f>_xlfn.XLOOKUP(M34, Finance!$A:$A, Finance!$B:$B, 0)</f>
        <v>36734</v>
      </c>
      <c r="Q34">
        <f>_xlfn.XLOOKUP(M34, Finance!$A:$A, Finance!$C:$C, 0)</f>
        <v>93760</v>
      </c>
      <c r="R34">
        <f>_xlfn.XLOOKUP(M34, Finance!$A:$A, Finance!$D:$D, 0)</f>
        <v>16230</v>
      </c>
      <c r="S34">
        <f t="shared" ref="S34:S65" si="10">F34*G34</f>
        <v>2808</v>
      </c>
      <c r="T34">
        <f t="shared" ref="T34:T65" si="11">S34*(1-L34)</f>
        <v>2583.36</v>
      </c>
      <c r="U34">
        <f t="shared" ref="U34:U65" si="12">COUNTIF($M$2:$M$97, M34)</f>
        <v>11</v>
      </c>
      <c r="V34">
        <f t="shared" ref="V34:V65" si="13">P34/U34</f>
        <v>3339.4545454545455</v>
      </c>
      <c r="W34">
        <f t="shared" ref="W34:W65" si="14">Q34/U34</f>
        <v>8523.636363636364</v>
      </c>
      <c r="X34">
        <f t="shared" ref="X34:X65" si="15">R34/U34</f>
        <v>1475.4545454545455</v>
      </c>
      <c r="Y34">
        <f t="shared" ref="Y34:Y65" si="16">S34 - (F34*I34) - V34 - W34 - X34</f>
        <v>-11403.545454545456</v>
      </c>
      <c r="Z34">
        <f t="shared" ref="Z34:Z65" si="17">SUMIF($D$2:$D$97, D34, $S$2:$S$97)</f>
        <v>23446</v>
      </c>
      <c r="AA34" t="str" cm="1">
        <f t="array" ref="AA34">_xlfn.IFS(Z34&gt;50000, "VIP", Z34&gt;=20000, "Regular", TRUE, "Low Value")</f>
        <v>Regular</v>
      </c>
      <c r="AB34" s="8" t="str">
        <f>INDEX(Products!$B:$B, MATCH(E34, Products!$A:$A, 0))</f>
        <v>Electronics</v>
      </c>
    </row>
    <row r="35" spans="1:28" x14ac:dyDescent="0.3">
      <c r="A35" t="s">
        <v>73</v>
      </c>
      <c r="B35" s="4">
        <v>45844.2341087963</v>
      </c>
      <c r="C35" s="8" t="s">
        <v>1</v>
      </c>
      <c r="D35">
        <v>1019</v>
      </c>
      <c r="E35" s="8" t="s">
        <v>14</v>
      </c>
      <c r="F35">
        <v>3</v>
      </c>
      <c r="G35">
        <v>603</v>
      </c>
      <c r="H35" s="8" t="str">
        <f>_xlfn.XLOOKUP(E35,Products!$A$2:$A$7,Products!$B$2:$B$7,"Not Found",0)</f>
        <v>Electronics</v>
      </c>
      <c r="I35">
        <f>_xlfn.XLOOKUP(E35,Products!$A$2:$A$7,Products!$D$2:$D$7,"Not Found", 0)</f>
        <v>469</v>
      </c>
      <c r="L35">
        <f>_xlfn.XLOOKUP(E35,Products!$A$2:$A$7,Products!$E$2:$E$7,"Not Found", 0)</f>
        <v>0.22</v>
      </c>
      <c r="M35">
        <f t="shared" si="9"/>
        <v>45869</v>
      </c>
      <c r="N35">
        <f>_xlfn.XLOOKUP(A35, Operations!$A:$A, Operations!$B:$B, 0)</f>
        <v>5</v>
      </c>
      <c r="O35">
        <f>_xlfn.XLOOKUP(A35, Operations!$A:$A, Operations!$C:$C, 0)</f>
        <v>0.03</v>
      </c>
      <c r="P35">
        <f>_xlfn.XLOOKUP(M35, Finance!$A:$A, Finance!$B:$B, 0)</f>
        <v>36304</v>
      </c>
      <c r="Q35">
        <f>_xlfn.XLOOKUP(M35, Finance!$A:$A, Finance!$C:$C, 0)</f>
        <v>63297</v>
      </c>
      <c r="R35">
        <f>_xlfn.XLOOKUP(M35, Finance!$A:$A, Finance!$D:$D, 0)</f>
        <v>25453</v>
      </c>
      <c r="S35">
        <f t="shared" si="10"/>
        <v>1809</v>
      </c>
      <c r="T35">
        <f t="shared" si="11"/>
        <v>1411.02</v>
      </c>
      <c r="U35">
        <f t="shared" si="12"/>
        <v>12</v>
      </c>
      <c r="V35">
        <f t="shared" si="13"/>
        <v>3025.3333333333335</v>
      </c>
      <c r="W35">
        <f t="shared" si="14"/>
        <v>5274.75</v>
      </c>
      <c r="X35">
        <f t="shared" si="15"/>
        <v>2121.0833333333335</v>
      </c>
      <c r="Y35">
        <f t="shared" si="16"/>
        <v>-10019.166666666668</v>
      </c>
      <c r="Z35">
        <f t="shared" si="17"/>
        <v>20633</v>
      </c>
      <c r="AA35" t="str" cm="1">
        <f t="array" ref="AA35">_xlfn.IFS(Z35&gt;50000, "VIP", Z35&gt;=20000, "Regular", TRUE, "Low Value")</f>
        <v>Regular</v>
      </c>
      <c r="AB35" s="8" t="str">
        <f>INDEX(Products!$B:$B, MATCH(E35, Products!$A:$A, 0))</f>
        <v>Electronics</v>
      </c>
    </row>
    <row r="36" spans="1:28" x14ac:dyDescent="0.3">
      <c r="A36" t="s">
        <v>72</v>
      </c>
      <c r="B36" s="4">
        <v>45850.673425925917</v>
      </c>
      <c r="C36" s="8" t="s">
        <v>11</v>
      </c>
      <c r="D36">
        <v>1006</v>
      </c>
      <c r="E36" s="8" t="s">
        <v>0</v>
      </c>
      <c r="F36">
        <v>8</v>
      </c>
      <c r="G36">
        <v>1987</v>
      </c>
      <c r="H36" s="8" t="str">
        <f>_xlfn.XLOOKUP(E36,Products!$A$2:$A$7,Products!$B$2:$B$7,"Not Found",0)</f>
        <v>Electronics</v>
      </c>
      <c r="I36">
        <f>_xlfn.XLOOKUP(E36,Products!$A$2:$A$7,Products!$D$2:$D$7,"Not Found", 0)</f>
        <v>463</v>
      </c>
      <c r="L36">
        <f>_xlfn.XLOOKUP(E36,Products!$A$2:$A$7,Products!$E$2:$E$7,"Not Found", 0)</f>
        <v>0.23</v>
      </c>
      <c r="M36">
        <f t="shared" si="9"/>
        <v>45869</v>
      </c>
      <c r="N36">
        <f>_xlfn.XLOOKUP(A36, Operations!$A:$A, Operations!$B:$B, 0)</f>
        <v>3</v>
      </c>
      <c r="O36">
        <f>_xlfn.XLOOKUP(A36, Operations!$A:$A, Operations!$C:$C, 0)</f>
        <v>0.06</v>
      </c>
      <c r="P36">
        <f>_xlfn.XLOOKUP(M36, Finance!$A:$A, Finance!$B:$B, 0)</f>
        <v>36304</v>
      </c>
      <c r="Q36">
        <f>_xlfn.XLOOKUP(M36, Finance!$A:$A, Finance!$C:$C, 0)</f>
        <v>63297</v>
      </c>
      <c r="R36">
        <f>_xlfn.XLOOKUP(M36, Finance!$A:$A, Finance!$D:$D, 0)</f>
        <v>25453</v>
      </c>
      <c r="S36">
        <f t="shared" si="10"/>
        <v>15896</v>
      </c>
      <c r="T36">
        <f t="shared" si="11"/>
        <v>12239.92</v>
      </c>
      <c r="U36">
        <f t="shared" si="12"/>
        <v>12</v>
      </c>
      <c r="V36">
        <f t="shared" si="13"/>
        <v>3025.3333333333335</v>
      </c>
      <c r="W36">
        <f t="shared" si="14"/>
        <v>5274.75</v>
      </c>
      <c r="X36">
        <f t="shared" si="15"/>
        <v>2121.0833333333335</v>
      </c>
      <c r="Y36">
        <f t="shared" si="16"/>
        <v>1770.8333333333326</v>
      </c>
      <c r="Z36">
        <f t="shared" si="17"/>
        <v>34295</v>
      </c>
      <c r="AA36" t="str" cm="1">
        <f t="array" ref="AA36">_xlfn.IFS(Z36&gt;50000, "VIP", Z36&gt;=20000, "Regular", TRUE, "Low Value")</f>
        <v>Regular</v>
      </c>
      <c r="AB36" s="8" t="str">
        <f>INDEX(Products!$B:$B, MATCH(E36, Products!$A:$A, 0))</f>
        <v>Electronics</v>
      </c>
    </row>
    <row r="37" spans="1:28" x14ac:dyDescent="0.3">
      <c r="A37" t="s">
        <v>71</v>
      </c>
      <c r="B37" s="4">
        <v>45891.79111111111</v>
      </c>
      <c r="C37" s="8" t="s">
        <v>9</v>
      </c>
      <c r="D37">
        <v>1008</v>
      </c>
      <c r="E37" s="8" t="s">
        <v>14</v>
      </c>
      <c r="F37">
        <v>3</v>
      </c>
      <c r="G37">
        <v>589</v>
      </c>
      <c r="H37" s="8" t="str">
        <f>_xlfn.XLOOKUP(E37,Products!$A$2:$A$7,Products!$B$2:$B$7,"Not Found",0)</f>
        <v>Electronics</v>
      </c>
      <c r="I37">
        <f>_xlfn.XLOOKUP(E37,Products!$A$2:$A$7,Products!$D$2:$D$7,"Not Found", 0)</f>
        <v>469</v>
      </c>
      <c r="L37">
        <f>_xlfn.XLOOKUP(E37,Products!$A$2:$A$7,Products!$E$2:$E$7,"Not Found", 0)</f>
        <v>0.22</v>
      </c>
      <c r="M37">
        <f t="shared" si="9"/>
        <v>45900</v>
      </c>
      <c r="N37">
        <f>_xlfn.XLOOKUP(A37, Operations!$A:$A, Operations!$B:$B, 0)</f>
        <v>5</v>
      </c>
      <c r="O37">
        <f>_xlfn.XLOOKUP(A37, Operations!$A:$A, Operations!$C:$C, 0)</f>
        <v>0.04</v>
      </c>
      <c r="P37">
        <f>_xlfn.XLOOKUP(M37, Finance!$A:$A, Finance!$B:$B, 0)</f>
        <v>36734</v>
      </c>
      <c r="Q37">
        <f>_xlfn.XLOOKUP(M37, Finance!$A:$A, Finance!$C:$C, 0)</f>
        <v>93760</v>
      </c>
      <c r="R37">
        <f>_xlfn.XLOOKUP(M37, Finance!$A:$A, Finance!$D:$D, 0)</f>
        <v>16230</v>
      </c>
      <c r="S37">
        <f t="shared" si="10"/>
        <v>1767</v>
      </c>
      <c r="T37">
        <f t="shared" si="11"/>
        <v>1378.26</v>
      </c>
      <c r="U37">
        <f t="shared" si="12"/>
        <v>11</v>
      </c>
      <c r="V37">
        <f t="shared" si="13"/>
        <v>3339.4545454545455</v>
      </c>
      <c r="W37">
        <f t="shared" si="14"/>
        <v>8523.636363636364</v>
      </c>
      <c r="X37">
        <f t="shared" si="15"/>
        <v>1475.4545454545455</v>
      </c>
      <c r="Y37">
        <f t="shared" si="16"/>
        <v>-12978.545454545456</v>
      </c>
      <c r="Z37">
        <f t="shared" si="17"/>
        <v>5269</v>
      </c>
      <c r="AA37" t="str" cm="1">
        <f t="array" ref="AA37">_xlfn.IFS(Z37&gt;50000, "VIP", Z37&gt;=20000, "Regular", TRUE, "Low Value")</f>
        <v>Low Value</v>
      </c>
      <c r="AB37" s="8" t="str">
        <f>INDEX(Products!$B:$B, MATCH(E37, Products!$A:$A, 0))</f>
        <v>Electronics</v>
      </c>
    </row>
    <row r="38" spans="1:28" x14ac:dyDescent="0.3">
      <c r="A38" t="s">
        <v>70</v>
      </c>
      <c r="B38" s="4">
        <v>45886.32172453704</v>
      </c>
      <c r="C38" s="8" t="s">
        <v>1</v>
      </c>
      <c r="D38">
        <v>1006</v>
      </c>
      <c r="E38" s="8" t="s">
        <v>8</v>
      </c>
      <c r="F38">
        <v>2</v>
      </c>
      <c r="G38">
        <v>1742</v>
      </c>
      <c r="H38" s="8" t="str">
        <f>_xlfn.XLOOKUP(E38,Products!$A$2:$A$7,Products!$B$2:$B$7,"Not Found",0)</f>
        <v>Accessories</v>
      </c>
      <c r="I38">
        <f>_xlfn.XLOOKUP(E38,Products!$A$2:$A$7,Products!$D$2:$D$7,"Not Found", 0)</f>
        <v>323</v>
      </c>
      <c r="L38">
        <f>_xlfn.XLOOKUP(E38,Products!$A$2:$A$7,Products!$E$2:$E$7,"Not Found", 0)</f>
        <v>0.1</v>
      </c>
      <c r="M38">
        <f t="shared" si="9"/>
        <v>45900</v>
      </c>
      <c r="N38">
        <f>_xlfn.XLOOKUP(A38, Operations!$A:$A, Operations!$B:$B, 0)</f>
        <v>4</v>
      </c>
      <c r="O38">
        <f>_xlfn.XLOOKUP(A38, Operations!$A:$A, Operations!$C:$C, 0)</f>
        <v>0.04</v>
      </c>
      <c r="P38">
        <f>_xlfn.XLOOKUP(M38, Finance!$A:$A, Finance!$B:$B, 0)</f>
        <v>36734</v>
      </c>
      <c r="Q38">
        <f>_xlfn.XLOOKUP(M38, Finance!$A:$A, Finance!$C:$C, 0)</f>
        <v>93760</v>
      </c>
      <c r="R38">
        <f>_xlfn.XLOOKUP(M38, Finance!$A:$A, Finance!$D:$D, 0)</f>
        <v>16230</v>
      </c>
      <c r="S38">
        <f t="shared" si="10"/>
        <v>3484</v>
      </c>
      <c r="T38">
        <f t="shared" si="11"/>
        <v>3135.6</v>
      </c>
      <c r="U38">
        <f t="shared" si="12"/>
        <v>11</v>
      </c>
      <c r="V38">
        <f t="shared" si="13"/>
        <v>3339.4545454545455</v>
      </c>
      <c r="W38">
        <f t="shared" si="14"/>
        <v>8523.636363636364</v>
      </c>
      <c r="X38">
        <f t="shared" si="15"/>
        <v>1475.4545454545455</v>
      </c>
      <c r="Y38">
        <f t="shared" si="16"/>
        <v>-10500.545454545456</v>
      </c>
      <c r="Z38">
        <f t="shared" si="17"/>
        <v>34295</v>
      </c>
      <c r="AA38" t="str" cm="1">
        <f t="array" ref="AA38">_xlfn.IFS(Z38&gt;50000, "VIP", Z38&gt;=20000, "Regular", TRUE, "Low Value")</f>
        <v>Regular</v>
      </c>
      <c r="AB38" s="8" t="str">
        <f>INDEX(Products!$B:$B, MATCH(E38, Products!$A:$A, 0))</f>
        <v>Accessories</v>
      </c>
    </row>
    <row r="39" spans="1:28" x14ac:dyDescent="0.3">
      <c r="A39" t="s">
        <v>69</v>
      </c>
      <c r="B39" s="4">
        <v>45857.334780092591</v>
      </c>
      <c r="C39" s="8" t="s">
        <v>11</v>
      </c>
      <c r="D39">
        <v>1015</v>
      </c>
      <c r="E39" s="8" t="s">
        <v>21</v>
      </c>
      <c r="F39">
        <v>4</v>
      </c>
      <c r="G39">
        <v>1461</v>
      </c>
      <c r="H39" s="8" t="str">
        <f>_xlfn.XLOOKUP(E39,Products!$A$2:$A$7,Products!$B$2:$B$7,"Not Found",0)</f>
        <v>Electronics</v>
      </c>
      <c r="I39">
        <f>_xlfn.XLOOKUP(E39,Products!$A$2:$A$7,Products!$D$2:$D$7,"Not Found", 0)</f>
        <v>97</v>
      </c>
      <c r="L39">
        <f>_xlfn.XLOOKUP(E39,Products!$A$2:$A$7,Products!$E$2:$E$7,"Not Found", 0)</f>
        <v>0.08</v>
      </c>
      <c r="M39">
        <f t="shared" si="9"/>
        <v>45869</v>
      </c>
      <c r="N39">
        <f>_xlfn.XLOOKUP(A39, Operations!$A:$A, Operations!$B:$B, 0)</f>
        <v>8</v>
      </c>
      <c r="O39">
        <f>_xlfn.XLOOKUP(A39, Operations!$A:$A, Operations!$C:$C, 0)</f>
        <v>0.03</v>
      </c>
      <c r="P39">
        <f>_xlfn.XLOOKUP(M39, Finance!$A:$A, Finance!$B:$B, 0)</f>
        <v>36304</v>
      </c>
      <c r="Q39">
        <f>_xlfn.XLOOKUP(M39, Finance!$A:$A, Finance!$C:$C, 0)</f>
        <v>63297</v>
      </c>
      <c r="R39">
        <f>_xlfn.XLOOKUP(M39, Finance!$A:$A, Finance!$D:$D, 0)</f>
        <v>25453</v>
      </c>
      <c r="S39">
        <f t="shared" si="10"/>
        <v>5844</v>
      </c>
      <c r="T39">
        <f t="shared" si="11"/>
        <v>5376.4800000000005</v>
      </c>
      <c r="U39">
        <f t="shared" si="12"/>
        <v>12</v>
      </c>
      <c r="V39">
        <f t="shared" si="13"/>
        <v>3025.3333333333335</v>
      </c>
      <c r="W39">
        <f t="shared" si="14"/>
        <v>5274.75</v>
      </c>
      <c r="X39">
        <f t="shared" si="15"/>
        <v>2121.0833333333335</v>
      </c>
      <c r="Y39">
        <f t="shared" si="16"/>
        <v>-4965.166666666667</v>
      </c>
      <c r="Z39">
        <f t="shared" si="17"/>
        <v>10260</v>
      </c>
      <c r="AA39" t="str" cm="1">
        <f t="array" ref="AA39">_xlfn.IFS(Z39&gt;50000, "VIP", Z39&gt;=20000, "Regular", TRUE, "Low Value")</f>
        <v>Low Value</v>
      </c>
      <c r="AB39" s="8" t="str">
        <f>INDEX(Products!$B:$B, MATCH(E39, Products!$A:$A, 0))</f>
        <v>Electronics</v>
      </c>
    </row>
    <row r="40" spans="1:28" x14ac:dyDescent="0.3">
      <c r="A40" t="s">
        <v>68</v>
      </c>
      <c r="B40" s="4">
        <v>45914.314293981479</v>
      </c>
      <c r="C40" s="8" t="s">
        <v>11</v>
      </c>
      <c r="D40">
        <v>1002</v>
      </c>
      <c r="E40" s="8" t="s">
        <v>14</v>
      </c>
      <c r="F40">
        <v>3</v>
      </c>
      <c r="G40">
        <v>1133</v>
      </c>
      <c r="H40" s="8" t="str">
        <f>_xlfn.XLOOKUP(E40,Products!$A$2:$A$7,Products!$B$2:$B$7,"Not Found",0)</f>
        <v>Electronics</v>
      </c>
      <c r="I40">
        <f>_xlfn.XLOOKUP(E40,Products!$A$2:$A$7,Products!$D$2:$D$7,"Not Found", 0)</f>
        <v>469</v>
      </c>
      <c r="L40">
        <f>_xlfn.XLOOKUP(E40,Products!$A$2:$A$7,Products!$E$2:$E$7,"Not Found", 0)</f>
        <v>0.22</v>
      </c>
      <c r="M40">
        <f t="shared" si="9"/>
        <v>45930</v>
      </c>
      <c r="N40">
        <f>_xlfn.XLOOKUP(A40, Operations!$A:$A, Operations!$B:$B, 0)</f>
        <v>1</v>
      </c>
      <c r="O40">
        <f>_xlfn.XLOOKUP(A40, Operations!$A:$A, Operations!$C:$C, 0)</f>
        <v>0.02</v>
      </c>
      <c r="P40">
        <f>_xlfn.XLOOKUP(M40, Finance!$A:$A, Finance!$B:$B, 0)</f>
        <v>34260</v>
      </c>
      <c r="Q40">
        <f>_xlfn.XLOOKUP(M40, Finance!$A:$A, Finance!$C:$C, 0)</f>
        <v>70760</v>
      </c>
      <c r="R40">
        <f>_xlfn.XLOOKUP(M40, Finance!$A:$A, Finance!$D:$D, 0)</f>
        <v>28818</v>
      </c>
      <c r="S40">
        <f t="shared" si="10"/>
        <v>3399</v>
      </c>
      <c r="T40">
        <f t="shared" si="11"/>
        <v>2651.2200000000003</v>
      </c>
      <c r="U40">
        <f t="shared" si="12"/>
        <v>7</v>
      </c>
      <c r="V40">
        <f t="shared" si="13"/>
        <v>4894.2857142857147</v>
      </c>
      <c r="W40">
        <f t="shared" si="14"/>
        <v>10108.571428571429</v>
      </c>
      <c r="X40">
        <f t="shared" si="15"/>
        <v>4116.8571428571431</v>
      </c>
      <c r="Y40">
        <f t="shared" si="16"/>
        <v>-17127.71428571429</v>
      </c>
      <c r="Z40">
        <f t="shared" si="17"/>
        <v>14833</v>
      </c>
      <c r="AA40" t="str" cm="1">
        <f t="array" ref="AA40">_xlfn.IFS(Z40&gt;50000, "VIP", Z40&gt;=20000, "Regular", TRUE, "Low Value")</f>
        <v>Low Value</v>
      </c>
      <c r="AB40" s="8" t="str">
        <f>INDEX(Products!$B:$B, MATCH(E40, Products!$A:$A, 0))</f>
        <v>Electronics</v>
      </c>
    </row>
    <row r="41" spans="1:28" x14ac:dyDescent="0.3">
      <c r="A41" t="s">
        <v>67</v>
      </c>
      <c r="B41" s="4">
        <v>45926.581597222219</v>
      </c>
      <c r="C41" s="8" t="s">
        <v>1</v>
      </c>
      <c r="D41">
        <v>1018</v>
      </c>
      <c r="E41" s="8" t="s">
        <v>0</v>
      </c>
      <c r="F41">
        <v>5</v>
      </c>
      <c r="G41">
        <v>644</v>
      </c>
      <c r="H41" s="8" t="str">
        <f>_xlfn.XLOOKUP(E41,Products!$A$2:$A$7,Products!$B$2:$B$7,"Not Found",0)</f>
        <v>Electronics</v>
      </c>
      <c r="I41">
        <f>_xlfn.XLOOKUP(E41,Products!$A$2:$A$7,Products!$D$2:$D$7,"Not Found", 0)</f>
        <v>463</v>
      </c>
      <c r="L41">
        <f>_xlfn.XLOOKUP(E41,Products!$A$2:$A$7,Products!$E$2:$E$7,"Not Found", 0)</f>
        <v>0.23</v>
      </c>
      <c r="M41">
        <f t="shared" si="9"/>
        <v>45930</v>
      </c>
      <c r="N41">
        <f>_xlfn.XLOOKUP(A41, Operations!$A:$A, Operations!$B:$B, 0)</f>
        <v>1</v>
      </c>
      <c r="O41">
        <f>_xlfn.XLOOKUP(A41, Operations!$A:$A, Operations!$C:$C, 0)</f>
        <v>0.05</v>
      </c>
      <c r="P41">
        <f>_xlfn.XLOOKUP(M41, Finance!$A:$A, Finance!$B:$B, 0)</f>
        <v>34260</v>
      </c>
      <c r="Q41">
        <f>_xlfn.XLOOKUP(M41, Finance!$A:$A, Finance!$C:$C, 0)</f>
        <v>70760</v>
      </c>
      <c r="R41">
        <f>_xlfn.XLOOKUP(M41, Finance!$A:$A, Finance!$D:$D, 0)</f>
        <v>28818</v>
      </c>
      <c r="S41">
        <f t="shared" si="10"/>
        <v>3220</v>
      </c>
      <c r="T41">
        <f t="shared" si="11"/>
        <v>2479.4</v>
      </c>
      <c r="U41">
        <f t="shared" si="12"/>
        <v>7</v>
      </c>
      <c r="V41">
        <f t="shared" si="13"/>
        <v>4894.2857142857147</v>
      </c>
      <c r="W41">
        <f t="shared" si="14"/>
        <v>10108.571428571429</v>
      </c>
      <c r="X41">
        <f t="shared" si="15"/>
        <v>4116.8571428571431</v>
      </c>
      <c r="Y41">
        <f t="shared" si="16"/>
        <v>-18214.71428571429</v>
      </c>
      <c r="Z41">
        <f t="shared" si="17"/>
        <v>31997</v>
      </c>
      <c r="AA41" t="str" cm="1">
        <f t="array" ref="AA41">_xlfn.IFS(Z41&gt;50000, "VIP", Z41&gt;=20000, "Regular", TRUE, "Low Value")</f>
        <v>Regular</v>
      </c>
      <c r="AB41" s="8" t="str">
        <f>INDEX(Products!$B:$B, MATCH(E41, Products!$A:$A, 0))</f>
        <v>Electronics</v>
      </c>
    </row>
    <row r="42" spans="1:28" x14ac:dyDescent="0.3">
      <c r="A42" t="s">
        <v>66</v>
      </c>
      <c r="B42" s="4">
        <v>45897.155312499999</v>
      </c>
      <c r="C42" s="8" t="s">
        <v>9</v>
      </c>
      <c r="D42">
        <v>1002</v>
      </c>
      <c r="E42" s="8" t="s">
        <v>8</v>
      </c>
      <c r="F42">
        <v>2</v>
      </c>
      <c r="G42">
        <v>1265</v>
      </c>
      <c r="H42" s="8" t="str">
        <f>_xlfn.XLOOKUP(E42,Products!$A$2:$A$7,Products!$B$2:$B$7,"Not Found",0)</f>
        <v>Accessories</v>
      </c>
      <c r="I42">
        <f>_xlfn.XLOOKUP(E42,Products!$A$2:$A$7,Products!$D$2:$D$7,"Not Found", 0)</f>
        <v>323</v>
      </c>
      <c r="L42">
        <f>_xlfn.XLOOKUP(E42,Products!$A$2:$A$7,Products!$E$2:$E$7,"Not Found", 0)</f>
        <v>0.1</v>
      </c>
      <c r="M42">
        <f t="shared" si="9"/>
        <v>45900</v>
      </c>
      <c r="N42">
        <f>_xlfn.XLOOKUP(A42, Operations!$A:$A, Operations!$B:$B, 0)</f>
        <v>6</v>
      </c>
      <c r="O42">
        <f>_xlfn.XLOOKUP(A42, Operations!$A:$A, Operations!$C:$C, 0)</f>
        <v>0.05</v>
      </c>
      <c r="P42">
        <f>_xlfn.XLOOKUP(M42, Finance!$A:$A, Finance!$B:$B, 0)</f>
        <v>36734</v>
      </c>
      <c r="Q42">
        <f>_xlfn.XLOOKUP(M42, Finance!$A:$A, Finance!$C:$C, 0)</f>
        <v>93760</v>
      </c>
      <c r="R42">
        <f>_xlfn.XLOOKUP(M42, Finance!$A:$A, Finance!$D:$D, 0)</f>
        <v>16230</v>
      </c>
      <c r="S42">
        <f t="shared" si="10"/>
        <v>2530</v>
      </c>
      <c r="T42">
        <f t="shared" si="11"/>
        <v>2277</v>
      </c>
      <c r="U42">
        <f t="shared" si="12"/>
        <v>11</v>
      </c>
      <c r="V42">
        <f t="shared" si="13"/>
        <v>3339.4545454545455</v>
      </c>
      <c r="W42">
        <f t="shared" si="14"/>
        <v>8523.636363636364</v>
      </c>
      <c r="X42">
        <f t="shared" si="15"/>
        <v>1475.4545454545455</v>
      </c>
      <c r="Y42">
        <f t="shared" si="16"/>
        <v>-11454.545454545456</v>
      </c>
      <c r="Z42">
        <f t="shared" si="17"/>
        <v>14833</v>
      </c>
      <c r="AA42" t="str" cm="1">
        <f t="array" ref="AA42">_xlfn.IFS(Z42&gt;50000, "VIP", Z42&gt;=20000, "Regular", TRUE, "Low Value")</f>
        <v>Low Value</v>
      </c>
      <c r="AB42" s="8" t="str">
        <f>INDEX(Products!$B:$B, MATCH(E42, Products!$A:$A, 0))</f>
        <v>Accessories</v>
      </c>
    </row>
    <row r="43" spans="1:28" x14ac:dyDescent="0.3">
      <c r="A43" t="s">
        <v>65</v>
      </c>
      <c r="B43" s="4">
        <v>45868.096215277779</v>
      </c>
      <c r="C43" s="8" t="s">
        <v>4</v>
      </c>
      <c r="D43">
        <v>1011</v>
      </c>
      <c r="E43" s="8" t="s">
        <v>31</v>
      </c>
      <c r="F43">
        <v>3</v>
      </c>
      <c r="G43">
        <v>1634</v>
      </c>
      <c r="H43" s="8" t="str">
        <f>_xlfn.XLOOKUP(E43,Products!$A$2:$A$7,Products!$B$2:$B$7,"Not Found",0)</f>
        <v>Electronics</v>
      </c>
      <c r="I43">
        <f>_xlfn.XLOOKUP(E43,Products!$A$2:$A$7,Products!$D$2:$D$7,"Not Found", 0)</f>
        <v>492</v>
      </c>
      <c r="L43">
        <f>_xlfn.XLOOKUP(E43,Products!$A$2:$A$7,Products!$E$2:$E$7,"Not Found", 0)</f>
        <v>0.14000000000000001</v>
      </c>
      <c r="M43">
        <f t="shared" si="9"/>
        <v>45869</v>
      </c>
      <c r="N43">
        <f>_xlfn.XLOOKUP(A43, Operations!$A:$A, Operations!$B:$B, 0)</f>
        <v>7</v>
      </c>
      <c r="O43">
        <f>_xlfn.XLOOKUP(A43, Operations!$A:$A, Operations!$C:$C, 0)</f>
        <v>0.09</v>
      </c>
      <c r="P43">
        <f>_xlfn.XLOOKUP(M43, Finance!$A:$A, Finance!$B:$B, 0)</f>
        <v>36304</v>
      </c>
      <c r="Q43">
        <f>_xlfn.XLOOKUP(M43, Finance!$A:$A, Finance!$C:$C, 0)</f>
        <v>63297</v>
      </c>
      <c r="R43">
        <f>_xlfn.XLOOKUP(M43, Finance!$A:$A, Finance!$D:$D, 0)</f>
        <v>25453</v>
      </c>
      <c r="S43">
        <f t="shared" si="10"/>
        <v>4902</v>
      </c>
      <c r="T43">
        <f t="shared" si="11"/>
        <v>4215.72</v>
      </c>
      <c r="U43">
        <f t="shared" si="12"/>
        <v>12</v>
      </c>
      <c r="V43">
        <f t="shared" si="13"/>
        <v>3025.3333333333335</v>
      </c>
      <c r="W43">
        <f t="shared" si="14"/>
        <v>5274.75</v>
      </c>
      <c r="X43">
        <f t="shared" si="15"/>
        <v>2121.0833333333335</v>
      </c>
      <c r="Y43">
        <f t="shared" si="16"/>
        <v>-6995.1666666666679</v>
      </c>
      <c r="Z43">
        <f t="shared" si="17"/>
        <v>17906</v>
      </c>
      <c r="AA43" t="str" cm="1">
        <f t="array" ref="AA43">_xlfn.IFS(Z43&gt;50000, "VIP", Z43&gt;=20000, "Regular", TRUE, "Low Value")</f>
        <v>Low Value</v>
      </c>
      <c r="AB43" s="8" t="str">
        <f>INDEX(Products!$B:$B, MATCH(E43, Products!$A:$A, 0))</f>
        <v>Electronics</v>
      </c>
    </row>
    <row r="44" spans="1:28" x14ac:dyDescent="0.3">
      <c r="A44" t="s">
        <v>64</v>
      </c>
      <c r="B44" s="4">
        <v>45916.957511574074</v>
      </c>
      <c r="C44" s="8" t="s">
        <v>1</v>
      </c>
      <c r="D44">
        <v>1012</v>
      </c>
      <c r="E44" s="8" t="s">
        <v>3</v>
      </c>
      <c r="F44">
        <v>3</v>
      </c>
      <c r="G44">
        <v>144</v>
      </c>
      <c r="H44" s="8" t="str">
        <f>_xlfn.XLOOKUP(E44,Products!$A$2:$A$7,Products!$B$2:$B$7,"Not Found",0)</f>
        <v>Office</v>
      </c>
      <c r="I44">
        <f>_xlfn.XLOOKUP(E44,Products!$A$2:$A$7,Products!$D$2:$D$7,"Not Found", 0)</f>
        <v>136</v>
      </c>
      <c r="L44">
        <f>_xlfn.XLOOKUP(E44,Products!$A$2:$A$7,Products!$E$2:$E$7,"Not Found", 0)</f>
        <v>0.1</v>
      </c>
      <c r="M44">
        <f t="shared" si="9"/>
        <v>45930</v>
      </c>
      <c r="N44">
        <f>_xlfn.XLOOKUP(A44, Operations!$A:$A, Operations!$B:$B, 0)</f>
        <v>7</v>
      </c>
      <c r="O44">
        <f>_xlfn.XLOOKUP(A44, Operations!$A:$A, Operations!$C:$C, 0)</f>
        <v>7.0000000000000007E-2</v>
      </c>
      <c r="P44">
        <f>_xlfn.XLOOKUP(M44, Finance!$A:$A, Finance!$B:$B, 0)</f>
        <v>34260</v>
      </c>
      <c r="Q44">
        <f>_xlfn.XLOOKUP(M44, Finance!$A:$A, Finance!$C:$C, 0)</f>
        <v>70760</v>
      </c>
      <c r="R44">
        <f>_xlfn.XLOOKUP(M44, Finance!$A:$A, Finance!$D:$D, 0)</f>
        <v>28818</v>
      </c>
      <c r="S44">
        <f t="shared" si="10"/>
        <v>432</v>
      </c>
      <c r="T44">
        <f t="shared" si="11"/>
        <v>388.8</v>
      </c>
      <c r="U44">
        <f t="shared" si="12"/>
        <v>7</v>
      </c>
      <c r="V44">
        <f t="shared" si="13"/>
        <v>4894.2857142857147</v>
      </c>
      <c r="W44">
        <f t="shared" si="14"/>
        <v>10108.571428571429</v>
      </c>
      <c r="X44">
        <f t="shared" si="15"/>
        <v>4116.8571428571431</v>
      </c>
      <c r="Y44">
        <f t="shared" si="16"/>
        <v>-19095.71428571429</v>
      </c>
      <c r="Z44">
        <f t="shared" si="17"/>
        <v>8379</v>
      </c>
      <c r="AA44" t="str" cm="1">
        <f t="array" ref="AA44">_xlfn.IFS(Z44&gt;50000, "VIP", Z44&gt;=20000, "Regular", TRUE, "Low Value")</f>
        <v>Low Value</v>
      </c>
      <c r="AB44" s="8" t="str">
        <f>INDEX(Products!$B:$B, MATCH(E44, Products!$A:$A, 0))</f>
        <v>Office</v>
      </c>
    </row>
    <row r="45" spans="1:28" x14ac:dyDescent="0.3">
      <c r="A45" t="s">
        <v>63</v>
      </c>
      <c r="B45" s="4">
        <v>45849.520115740743</v>
      </c>
      <c r="C45" s="8" t="s">
        <v>4</v>
      </c>
      <c r="D45">
        <v>1005</v>
      </c>
      <c r="E45" s="8" t="s">
        <v>31</v>
      </c>
      <c r="F45">
        <v>8</v>
      </c>
      <c r="G45">
        <v>1707</v>
      </c>
      <c r="H45" s="8" t="str">
        <f>_xlfn.XLOOKUP(E45,Products!$A$2:$A$7,Products!$B$2:$B$7,"Not Found",0)</f>
        <v>Electronics</v>
      </c>
      <c r="I45">
        <f>_xlfn.XLOOKUP(E45,Products!$A$2:$A$7,Products!$D$2:$D$7,"Not Found", 0)</f>
        <v>492</v>
      </c>
      <c r="L45">
        <f>_xlfn.XLOOKUP(E45,Products!$A$2:$A$7,Products!$E$2:$E$7,"Not Found", 0)</f>
        <v>0.14000000000000001</v>
      </c>
      <c r="M45">
        <f t="shared" si="9"/>
        <v>45869</v>
      </c>
      <c r="N45">
        <f>_xlfn.XLOOKUP(A45, Operations!$A:$A, Operations!$B:$B, 0)</f>
        <v>6</v>
      </c>
      <c r="O45">
        <f>_xlfn.XLOOKUP(A45, Operations!$A:$A, Operations!$C:$C, 0)</f>
        <v>0.08</v>
      </c>
      <c r="P45">
        <f>_xlfn.XLOOKUP(M45, Finance!$A:$A, Finance!$B:$B, 0)</f>
        <v>36304</v>
      </c>
      <c r="Q45">
        <f>_xlfn.XLOOKUP(M45, Finance!$A:$A, Finance!$C:$C, 0)</f>
        <v>63297</v>
      </c>
      <c r="R45">
        <f>_xlfn.XLOOKUP(M45, Finance!$A:$A, Finance!$D:$D, 0)</f>
        <v>25453</v>
      </c>
      <c r="S45">
        <f t="shared" si="10"/>
        <v>13656</v>
      </c>
      <c r="T45">
        <f t="shared" si="11"/>
        <v>11744.16</v>
      </c>
      <c r="U45">
        <f t="shared" si="12"/>
        <v>12</v>
      </c>
      <c r="V45">
        <f t="shared" si="13"/>
        <v>3025.3333333333335</v>
      </c>
      <c r="W45">
        <f t="shared" si="14"/>
        <v>5274.75</v>
      </c>
      <c r="X45">
        <f t="shared" si="15"/>
        <v>2121.0833333333335</v>
      </c>
      <c r="Y45">
        <f t="shared" si="16"/>
        <v>-701.16666666666742</v>
      </c>
      <c r="Z45">
        <f t="shared" si="17"/>
        <v>24821</v>
      </c>
      <c r="AA45" t="str" cm="1">
        <f t="array" ref="AA45">_xlfn.IFS(Z45&gt;50000, "VIP", Z45&gt;=20000, "Regular", TRUE, "Low Value")</f>
        <v>Regular</v>
      </c>
      <c r="AB45" s="8" t="str">
        <f>INDEX(Products!$B:$B, MATCH(E45, Products!$A:$A, 0))</f>
        <v>Electronics</v>
      </c>
    </row>
    <row r="46" spans="1:28" x14ac:dyDescent="0.3">
      <c r="A46" t="s">
        <v>62</v>
      </c>
      <c r="B46" s="4">
        <v>45873.09915509259</v>
      </c>
      <c r="C46" s="8" t="s">
        <v>9</v>
      </c>
      <c r="D46">
        <v>1004</v>
      </c>
      <c r="E46" s="8" t="s">
        <v>14</v>
      </c>
      <c r="F46">
        <v>4</v>
      </c>
      <c r="G46">
        <v>960</v>
      </c>
      <c r="H46" s="8" t="str">
        <f>_xlfn.XLOOKUP(E46,Products!$A$2:$A$7,Products!$B$2:$B$7,"Not Found",0)</f>
        <v>Electronics</v>
      </c>
      <c r="I46">
        <f>_xlfn.XLOOKUP(E46,Products!$A$2:$A$7,Products!$D$2:$D$7,"Not Found", 0)</f>
        <v>469</v>
      </c>
      <c r="L46">
        <f>_xlfn.XLOOKUP(E46,Products!$A$2:$A$7,Products!$E$2:$E$7,"Not Found", 0)</f>
        <v>0.22</v>
      </c>
      <c r="M46">
        <f t="shared" si="9"/>
        <v>45900</v>
      </c>
      <c r="N46">
        <f>_xlfn.XLOOKUP(A46, Operations!$A:$A, Operations!$B:$B, 0)</f>
        <v>7</v>
      </c>
      <c r="O46">
        <f>_xlfn.XLOOKUP(A46, Operations!$A:$A, Operations!$C:$C, 0)</f>
        <v>0.04</v>
      </c>
      <c r="P46">
        <f>_xlfn.XLOOKUP(M46, Finance!$A:$A, Finance!$B:$B, 0)</f>
        <v>36734</v>
      </c>
      <c r="Q46">
        <f>_xlfn.XLOOKUP(M46, Finance!$A:$A, Finance!$C:$C, 0)</f>
        <v>93760</v>
      </c>
      <c r="R46">
        <f>_xlfn.XLOOKUP(M46, Finance!$A:$A, Finance!$D:$D, 0)</f>
        <v>16230</v>
      </c>
      <c r="S46">
        <f t="shared" si="10"/>
        <v>3840</v>
      </c>
      <c r="T46">
        <f t="shared" si="11"/>
        <v>2995.2000000000003</v>
      </c>
      <c r="U46">
        <f t="shared" si="12"/>
        <v>11</v>
      </c>
      <c r="V46">
        <f t="shared" si="13"/>
        <v>3339.4545454545455</v>
      </c>
      <c r="W46">
        <f t="shared" si="14"/>
        <v>8523.636363636364</v>
      </c>
      <c r="X46">
        <f t="shared" si="15"/>
        <v>1475.4545454545455</v>
      </c>
      <c r="Y46">
        <f t="shared" si="16"/>
        <v>-11374.545454545456</v>
      </c>
      <c r="Z46">
        <f t="shared" si="17"/>
        <v>8004</v>
      </c>
      <c r="AA46" t="str" cm="1">
        <f t="array" ref="AA46">_xlfn.IFS(Z46&gt;50000, "VIP", Z46&gt;=20000, "Regular", TRUE, "Low Value")</f>
        <v>Low Value</v>
      </c>
      <c r="AB46" s="8" t="str">
        <f>INDEX(Products!$B:$B, MATCH(E46, Products!$A:$A, 0))</f>
        <v>Electronics</v>
      </c>
    </row>
    <row r="47" spans="1:28" x14ac:dyDescent="0.3">
      <c r="A47" t="s">
        <v>61</v>
      </c>
      <c r="B47" s="4">
        <v>45926.222662037027</v>
      </c>
      <c r="C47" s="8" t="s">
        <v>4</v>
      </c>
      <c r="D47">
        <v>1017</v>
      </c>
      <c r="E47" s="8" t="s">
        <v>14</v>
      </c>
      <c r="F47">
        <v>5</v>
      </c>
      <c r="G47">
        <v>1416</v>
      </c>
      <c r="H47" s="8" t="str">
        <f>_xlfn.XLOOKUP(E47,Products!$A$2:$A$7,Products!$B$2:$B$7,"Not Found",0)</f>
        <v>Electronics</v>
      </c>
      <c r="I47">
        <f>_xlfn.XLOOKUP(E47,Products!$A$2:$A$7,Products!$D$2:$D$7,"Not Found", 0)</f>
        <v>469</v>
      </c>
      <c r="L47">
        <f>_xlfn.XLOOKUP(E47,Products!$A$2:$A$7,Products!$E$2:$E$7,"Not Found", 0)</f>
        <v>0.22</v>
      </c>
      <c r="M47">
        <f t="shared" si="9"/>
        <v>45930</v>
      </c>
      <c r="N47">
        <f>_xlfn.XLOOKUP(A47, Operations!$A:$A, Operations!$B:$B, 0)</f>
        <v>5</v>
      </c>
      <c r="O47">
        <f>_xlfn.XLOOKUP(A47, Operations!$A:$A, Operations!$C:$C, 0)</f>
        <v>0.03</v>
      </c>
      <c r="P47">
        <f>_xlfn.XLOOKUP(M47, Finance!$A:$A, Finance!$B:$B, 0)</f>
        <v>34260</v>
      </c>
      <c r="Q47">
        <f>_xlfn.XLOOKUP(M47, Finance!$A:$A, Finance!$C:$C, 0)</f>
        <v>70760</v>
      </c>
      <c r="R47">
        <f>_xlfn.XLOOKUP(M47, Finance!$A:$A, Finance!$D:$D, 0)</f>
        <v>28818</v>
      </c>
      <c r="S47">
        <f t="shared" si="10"/>
        <v>7080</v>
      </c>
      <c r="T47">
        <f t="shared" si="11"/>
        <v>5522.4000000000005</v>
      </c>
      <c r="U47">
        <f t="shared" si="12"/>
        <v>7</v>
      </c>
      <c r="V47">
        <f t="shared" si="13"/>
        <v>4894.2857142857147</v>
      </c>
      <c r="W47">
        <f t="shared" si="14"/>
        <v>10108.571428571429</v>
      </c>
      <c r="X47">
        <f t="shared" si="15"/>
        <v>4116.8571428571431</v>
      </c>
      <c r="Y47">
        <f t="shared" si="16"/>
        <v>-14384.714285714288</v>
      </c>
      <c r="Z47">
        <f t="shared" si="17"/>
        <v>38912</v>
      </c>
      <c r="AA47" t="str" cm="1">
        <f t="array" ref="AA47">_xlfn.IFS(Z47&gt;50000, "VIP", Z47&gt;=20000, "Regular", TRUE, "Low Value")</f>
        <v>Regular</v>
      </c>
      <c r="AB47" s="8" t="str">
        <f>INDEX(Products!$B:$B, MATCH(E47, Products!$A:$A, 0))</f>
        <v>Electronics</v>
      </c>
    </row>
    <row r="48" spans="1:28" x14ac:dyDescent="0.3">
      <c r="A48" t="s">
        <v>60</v>
      </c>
      <c r="B48" s="4">
        <v>45906.44259259259</v>
      </c>
      <c r="C48" s="8" t="s">
        <v>11</v>
      </c>
      <c r="D48">
        <v>1017</v>
      </c>
      <c r="E48" s="8" t="s">
        <v>3</v>
      </c>
      <c r="F48">
        <v>2</v>
      </c>
      <c r="G48">
        <v>300</v>
      </c>
      <c r="H48" s="8" t="str">
        <f>_xlfn.XLOOKUP(E48,Products!$A$2:$A$7,Products!$B$2:$B$7,"Not Found",0)</f>
        <v>Office</v>
      </c>
      <c r="I48">
        <f>_xlfn.XLOOKUP(E48,Products!$A$2:$A$7,Products!$D$2:$D$7,"Not Found", 0)</f>
        <v>136</v>
      </c>
      <c r="L48">
        <f>_xlfn.XLOOKUP(E48,Products!$A$2:$A$7,Products!$E$2:$E$7,"Not Found", 0)</f>
        <v>0.1</v>
      </c>
      <c r="M48">
        <f t="shared" si="9"/>
        <v>45930</v>
      </c>
      <c r="N48">
        <f>_xlfn.XLOOKUP(A48, Operations!$A:$A, Operations!$B:$B, 0)</f>
        <v>8</v>
      </c>
      <c r="O48">
        <f>_xlfn.XLOOKUP(A48, Operations!$A:$A, Operations!$C:$C, 0)</f>
        <v>7.0000000000000007E-2</v>
      </c>
      <c r="P48">
        <f>_xlfn.XLOOKUP(M48, Finance!$A:$A, Finance!$B:$B, 0)</f>
        <v>34260</v>
      </c>
      <c r="Q48">
        <f>_xlfn.XLOOKUP(M48, Finance!$A:$A, Finance!$C:$C, 0)</f>
        <v>70760</v>
      </c>
      <c r="R48">
        <f>_xlfn.XLOOKUP(M48, Finance!$A:$A, Finance!$D:$D, 0)</f>
        <v>28818</v>
      </c>
      <c r="S48">
        <f t="shared" si="10"/>
        <v>600</v>
      </c>
      <c r="T48">
        <f t="shared" si="11"/>
        <v>540</v>
      </c>
      <c r="U48">
        <f t="shared" si="12"/>
        <v>7</v>
      </c>
      <c r="V48">
        <f t="shared" si="13"/>
        <v>4894.2857142857147</v>
      </c>
      <c r="W48">
        <f t="shared" si="14"/>
        <v>10108.571428571429</v>
      </c>
      <c r="X48">
        <f t="shared" si="15"/>
        <v>4116.8571428571431</v>
      </c>
      <c r="Y48">
        <f t="shared" si="16"/>
        <v>-18791.71428571429</v>
      </c>
      <c r="Z48">
        <f t="shared" si="17"/>
        <v>38912</v>
      </c>
      <c r="AA48" t="str" cm="1">
        <f t="array" ref="AA48">_xlfn.IFS(Z48&gt;50000, "VIP", Z48&gt;=20000, "Regular", TRUE, "Low Value")</f>
        <v>Regular</v>
      </c>
      <c r="AB48" s="8" t="str">
        <f>INDEX(Products!$B:$B, MATCH(E48, Products!$A:$A, 0))</f>
        <v>Office</v>
      </c>
    </row>
    <row r="49" spans="1:28" x14ac:dyDescent="0.3">
      <c r="A49" t="s">
        <v>59</v>
      </c>
      <c r="B49" s="4">
        <v>45911.789861111109</v>
      </c>
      <c r="C49" s="8" t="s">
        <v>4</v>
      </c>
      <c r="D49">
        <v>1001</v>
      </c>
      <c r="E49" s="8" t="s">
        <v>14</v>
      </c>
      <c r="F49">
        <v>7</v>
      </c>
      <c r="G49">
        <v>608</v>
      </c>
      <c r="H49" s="8" t="str">
        <f>_xlfn.XLOOKUP(E49,Products!$A$2:$A$7,Products!$B$2:$B$7,"Not Found",0)</f>
        <v>Electronics</v>
      </c>
      <c r="I49">
        <f>_xlfn.XLOOKUP(E49,Products!$A$2:$A$7,Products!$D$2:$D$7,"Not Found", 0)</f>
        <v>469</v>
      </c>
      <c r="L49">
        <f>_xlfn.XLOOKUP(E49,Products!$A$2:$A$7,Products!$E$2:$E$7,"Not Found", 0)</f>
        <v>0.22</v>
      </c>
      <c r="M49">
        <f t="shared" si="9"/>
        <v>45930</v>
      </c>
      <c r="N49">
        <f>_xlfn.XLOOKUP(A49, Operations!$A:$A, Operations!$B:$B, 0)</f>
        <v>4</v>
      </c>
      <c r="O49">
        <f>_xlfn.XLOOKUP(A49, Operations!$A:$A, Operations!$C:$C, 0)</f>
        <v>7.0000000000000007E-2</v>
      </c>
      <c r="P49">
        <f>_xlfn.XLOOKUP(M49, Finance!$A:$A, Finance!$B:$B, 0)</f>
        <v>34260</v>
      </c>
      <c r="Q49">
        <f>_xlfn.XLOOKUP(M49, Finance!$A:$A, Finance!$C:$C, 0)</f>
        <v>70760</v>
      </c>
      <c r="R49">
        <f>_xlfn.XLOOKUP(M49, Finance!$A:$A, Finance!$D:$D, 0)</f>
        <v>28818</v>
      </c>
      <c r="S49">
        <f t="shared" si="10"/>
        <v>4256</v>
      </c>
      <c r="T49">
        <f t="shared" si="11"/>
        <v>3319.6800000000003</v>
      </c>
      <c r="U49">
        <f t="shared" si="12"/>
        <v>7</v>
      </c>
      <c r="V49">
        <f t="shared" si="13"/>
        <v>4894.2857142857147</v>
      </c>
      <c r="W49">
        <f t="shared" si="14"/>
        <v>10108.571428571429</v>
      </c>
      <c r="X49">
        <f t="shared" si="15"/>
        <v>4116.8571428571431</v>
      </c>
      <c r="Y49">
        <f t="shared" si="16"/>
        <v>-18146.71428571429</v>
      </c>
      <c r="Z49">
        <f t="shared" si="17"/>
        <v>23279</v>
      </c>
      <c r="AA49" t="str" cm="1">
        <f t="array" ref="AA49">_xlfn.IFS(Z49&gt;50000, "VIP", Z49&gt;=20000, "Regular", TRUE, "Low Value")</f>
        <v>Regular</v>
      </c>
      <c r="AB49" s="8" t="str">
        <f>INDEX(Products!$B:$B, MATCH(E49, Products!$A:$A, 0))</f>
        <v>Electronics</v>
      </c>
    </row>
    <row r="50" spans="1:28" x14ac:dyDescent="0.3">
      <c r="A50" t="s">
        <v>58</v>
      </c>
      <c r="B50" s="4">
        <v>45867.799027777779</v>
      </c>
      <c r="C50" s="8" t="s">
        <v>4</v>
      </c>
      <c r="D50">
        <v>1017</v>
      </c>
      <c r="E50" s="8" t="s">
        <v>14</v>
      </c>
      <c r="F50">
        <v>8</v>
      </c>
      <c r="G50">
        <v>1150</v>
      </c>
      <c r="H50" s="8" t="str">
        <f>_xlfn.XLOOKUP(E50,Products!$A$2:$A$7,Products!$B$2:$B$7,"Not Found",0)</f>
        <v>Electronics</v>
      </c>
      <c r="I50">
        <f>_xlfn.XLOOKUP(E50,Products!$A$2:$A$7,Products!$D$2:$D$7,"Not Found", 0)</f>
        <v>469</v>
      </c>
      <c r="L50">
        <f>_xlfn.XLOOKUP(E50,Products!$A$2:$A$7,Products!$E$2:$E$7,"Not Found", 0)</f>
        <v>0.22</v>
      </c>
      <c r="M50">
        <f t="shared" si="9"/>
        <v>45869</v>
      </c>
      <c r="N50">
        <f>_xlfn.XLOOKUP(A50, Operations!$A:$A, Operations!$B:$B, 0)</f>
        <v>3</v>
      </c>
      <c r="O50">
        <f>_xlfn.XLOOKUP(A50, Operations!$A:$A, Operations!$C:$C, 0)</f>
        <v>0.01</v>
      </c>
      <c r="P50">
        <f>_xlfn.XLOOKUP(M50, Finance!$A:$A, Finance!$B:$B, 0)</f>
        <v>36304</v>
      </c>
      <c r="Q50">
        <f>_xlfn.XLOOKUP(M50, Finance!$A:$A, Finance!$C:$C, 0)</f>
        <v>63297</v>
      </c>
      <c r="R50">
        <f>_xlfn.XLOOKUP(M50, Finance!$A:$A, Finance!$D:$D, 0)</f>
        <v>25453</v>
      </c>
      <c r="S50">
        <f t="shared" si="10"/>
        <v>9200</v>
      </c>
      <c r="T50">
        <f t="shared" si="11"/>
        <v>7176</v>
      </c>
      <c r="U50">
        <f t="shared" si="12"/>
        <v>12</v>
      </c>
      <c r="V50">
        <f t="shared" si="13"/>
        <v>3025.3333333333335</v>
      </c>
      <c r="W50">
        <f t="shared" si="14"/>
        <v>5274.75</v>
      </c>
      <c r="X50">
        <f t="shared" si="15"/>
        <v>2121.0833333333335</v>
      </c>
      <c r="Y50">
        <f t="shared" si="16"/>
        <v>-4973.166666666667</v>
      </c>
      <c r="Z50">
        <f t="shared" si="17"/>
        <v>38912</v>
      </c>
      <c r="AA50" t="str" cm="1">
        <f t="array" ref="AA50">_xlfn.IFS(Z50&gt;50000, "VIP", Z50&gt;=20000, "Regular", TRUE, "Low Value")</f>
        <v>Regular</v>
      </c>
      <c r="AB50" s="8" t="str">
        <f>INDEX(Products!$B:$B, MATCH(E50, Products!$A:$A, 0))</f>
        <v>Electronics</v>
      </c>
    </row>
    <row r="51" spans="1:28" x14ac:dyDescent="0.3">
      <c r="A51" t="s">
        <v>57</v>
      </c>
      <c r="B51" s="4">
        <v>45880.701817129629</v>
      </c>
      <c r="C51" s="8" t="s">
        <v>9</v>
      </c>
      <c r="D51">
        <v>1019</v>
      </c>
      <c r="E51" s="8" t="s">
        <v>31</v>
      </c>
      <c r="F51">
        <v>2</v>
      </c>
      <c r="G51">
        <v>508</v>
      </c>
      <c r="H51" s="8" t="str">
        <f>_xlfn.XLOOKUP(E51,Products!$A$2:$A$7,Products!$B$2:$B$7,"Not Found",0)</f>
        <v>Electronics</v>
      </c>
      <c r="I51">
        <f>_xlfn.XLOOKUP(E51,Products!$A$2:$A$7,Products!$D$2:$D$7,"Not Found", 0)</f>
        <v>492</v>
      </c>
      <c r="L51">
        <f>_xlfn.XLOOKUP(E51,Products!$A$2:$A$7,Products!$E$2:$E$7,"Not Found", 0)</f>
        <v>0.14000000000000001</v>
      </c>
      <c r="M51">
        <f t="shared" si="9"/>
        <v>45900</v>
      </c>
      <c r="N51">
        <f>_xlfn.XLOOKUP(A51, Operations!$A:$A, Operations!$B:$B, 0)</f>
        <v>4</v>
      </c>
      <c r="O51">
        <f>_xlfn.XLOOKUP(A51, Operations!$A:$A, Operations!$C:$C, 0)</f>
        <v>0.01</v>
      </c>
      <c r="P51">
        <f>_xlfn.XLOOKUP(M51, Finance!$A:$A, Finance!$B:$B, 0)</f>
        <v>36734</v>
      </c>
      <c r="Q51">
        <f>_xlfn.XLOOKUP(M51, Finance!$A:$A, Finance!$C:$C, 0)</f>
        <v>93760</v>
      </c>
      <c r="R51">
        <f>_xlfn.XLOOKUP(M51, Finance!$A:$A, Finance!$D:$D, 0)</f>
        <v>16230</v>
      </c>
      <c r="S51">
        <f t="shared" si="10"/>
        <v>1016</v>
      </c>
      <c r="T51">
        <f t="shared" si="11"/>
        <v>873.76</v>
      </c>
      <c r="U51">
        <f t="shared" si="12"/>
        <v>11</v>
      </c>
      <c r="V51">
        <f t="shared" si="13"/>
        <v>3339.4545454545455</v>
      </c>
      <c r="W51">
        <f t="shared" si="14"/>
        <v>8523.636363636364</v>
      </c>
      <c r="X51">
        <f t="shared" si="15"/>
        <v>1475.4545454545455</v>
      </c>
      <c r="Y51">
        <f t="shared" si="16"/>
        <v>-13306.545454545456</v>
      </c>
      <c r="Z51">
        <f t="shared" si="17"/>
        <v>20633</v>
      </c>
      <c r="AA51" t="str" cm="1">
        <f t="array" ref="AA51">_xlfn.IFS(Z51&gt;50000, "VIP", Z51&gt;=20000, "Regular", TRUE, "Low Value")</f>
        <v>Regular</v>
      </c>
      <c r="AB51" s="8" t="str">
        <f>INDEX(Products!$B:$B, MATCH(E51, Products!$A:$A, 0))</f>
        <v>Electronics</v>
      </c>
    </row>
    <row r="52" spans="1:28" x14ac:dyDescent="0.3">
      <c r="A52" t="s">
        <v>56</v>
      </c>
      <c r="B52" s="4">
        <v>45926.246377314812</v>
      </c>
      <c r="C52" s="8" t="s">
        <v>11</v>
      </c>
      <c r="D52">
        <v>1019</v>
      </c>
      <c r="E52" s="8" t="s">
        <v>31</v>
      </c>
      <c r="F52">
        <v>1</v>
      </c>
      <c r="G52">
        <v>1272</v>
      </c>
      <c r="H52" s="8" t="str">
        <f>_xlfn.XLOOKUP(E52,Products!$A$2:$A$7,Products!$B$2:$B$7,"Not Found",0)</f>
        <v>Electronics</v>
      </c>
      <c r="I52">
        <f>_xlfn.XLOOKUP(E52,Products!$A$2:$A$7,Products!$D$2:$D$7,"Not Found", 0)</f>
        <v>492</v>
      </c>
      <c r="L52">
        <f>_xlfn.XLOOKUP(E52,Products!$A$2:$A$7,Products!$E$2:$E$7,"Not Found", 0)</f>
        <v>0.14000000000000001</v>
      </c>
      <c r="M52">
        <f t="shared" si="9"/>
        <v>45930</v>
      </c>
      <c r="N52">
        <f>_xlfn.XLOOKUP(A52, Operations!$A:$A, Operations!$B:$B, 0)</f>
        <v>9</v>
      </c>
      <c r="O52">
        <f>_xlfn.XLOOKUP(A52, Operations!$A:$A, Operations!$C:$C, 0)</f>
        <v>0.05</v>
      </c>
      <c r="P52">
        <f>_xlfn.XLOOKUP(M52, Finance!$A:$A, Finance!$B:$B, 0)</f>
        <v>34260</v>
      </c>
      <c r="Q52">
        <f>_xlfn.XLOOKUP(M52, Finance!$A:$A, Finance!$C:$C, 0)</f>
        <v>70760</v>
      </c>
      <c r="R52">
        <f>_xlfn.XLOOKUP(M52, Finance!$A:$A, Finance!$D:$D, 0)</f>
        <v>28818</v>
      </c>
      <c r="S52">
        <f t="shared" si="10"/>
        <v>1272</v>
      </c>
      <c r="T52">
        <f t="shared" si="11"/>
        <v>1093.92</v>
      </c>
      <c r="U52">
        <f t="shared" si="12"/>
        <v>7</v>
      </c>
      <c r="V52">
        <f t="shared" si="13"/>
        <v>4894.2857142857147</v>
      </c>
      <c r="W52">
        <f t="shared" si="14"/>
        <v>10108.571428571429</v>
      </c>
      <c r="X52">
        <f t="shared" si="15"/>
        <v>4116.8571428571431</v>
      </c>
      <c r="Y52">
        <f t="shared" si="16"/>
        <v>-18339.71428571429</v>
      </c>
      <c r="Z52">
        <f t="shared" si="17"/>
        <v>20633</v>
      </c>
      <c r="AA52" t="str" cm="1">
        <f t="array" ref="AA52">_xlfn.IFS(Z52&gt;50000, "VIP", Z52&gt;=20000, "Regular", TRUE, "Low Value")</f>
        <v>Regular</v>
      </c>
      <c r="AB52" s="8" t="str">
        <f>INDEX(Products!$B:$B, MATCH(E52, Products!$A:$A, 0))</f>
        <v>Electronics</v>
      </c>
    </row>
    <row r="53" spans="1:28" x14ac:dyDescent="0.3">
      <c r="A53" t="s">
        <v>55</v>
      </c>
      <c r="B53" s="4">
        <v>45841.351273148153</v>
      </c>
      <c r="C53" s="8" t="s">
        <v>9</v>
      </c>
      <c r="D53">
        <v>1012</v>
      </c>
      <c r="E53" s="8" t="s">
        <v>0</v>
      </c>
      <c r="F53">
        <v>1</v>
      </c>
      <c r="G53">
        <v>1186</v>
      </c>
      <c r="H53" s="8" t="str">
        <f>_xlfn.XLOOKUP(E53,Products!$A$2:$A$7,Products!$B$2:$B$7,"Not Found",0)</f>
        <v>Electronics</v>
      </c>
      <c r="I53">
        <f>_xlfn.XLOOKUP(E53,Products!$A$2:$A$7,Products!$D$2:$D$7,"Not Found", 0)</f>
        <v>463</v>
      </c>
      <c r="L53">
        <f>_xlfn.XLOOKUP(E53,Products!$A$2:$A$7,Products!$E$2:$E$7,"Not Found", 0)</f>
        <v>0.23</v>
      </c>
      <c r="M53">
        <f t="shared" si="9"/>
        <v>45869</v>
      </c>
      <c r="N53">
        <f>_xlfn.XLOOKUP(A53, Operations!$A:$A, Operations!$B:$B, 0)</f>
        <v>8</v>
      </c>
      <c r="O53">
        <f>_xlfn.XLOOKUP(A53, Operations!$A:$A, Operations!$C:$C, 0)</f>
        <v>0.02</v>
      </c>
      <c r="P53">
        <f>_xlfn.XLOOKUP(M53, Finance!$A:$A, Finance!$B:$B, 0)</f>
        <v>36304</v>
      </c>
      <c r="Q53">
        <f>_xlfn.XLOOKUP(M53, Finance!$A:$A, Finance!$C:$C, 0)</f>
        <v>63297</v>
      </c>
      <c r="R53">
        <f>_xlfn.XLOOKUP(M53, Finance!$A:$A, Finance!$D:$D, 0)</f>
        <v>25453</v>
      </c>
      <c r="S53">
        <f t="shared" si="10"/>
        <v>1186</v>
      </c>
      <c r="T53">
        <f t="shared" si="11"/>
        <v>913.22</v>
      </c>
      <c r="U53">
        <f t="shared" si="12"/>
        <v>12</v>
      </c>
      <c r="V53">
        <f t="shared" si="13"/>
        <v>3025.3333333333335</v>
      </c>
      <c r="W53">
        <f t="shared" si="14"/>
        <v>5274.75</v>
      </c>
      <c r="X53">
        <f t="shared" si="15"/>
        <v>2121.0833333333335</v>
      </c>
      <c r="Y53">
        <f t="shared" si="16"/>
        <v>-9698.1666666666679</v>
      </c>
      <c r="Z53">
        <f t="shared" si="17"/>
        <v>8379</v>
      </c>
      <c r="AA53" t="str" cm="1">
        <f t="array" ref="AA53">_xlfn.IFS(Z53&gt;50000, "VIP", Z53&gt;=20000, "Regular", TRUE, "Low Value")</f>
        <v>Low Value</v>
      </c>
      <c r="AB53" s="8" t="str">
        <f>INDEX(Products!$B:$B, MATCH(E53, Products!$A:$A, 0))</f>
        <v>Electronics</v>
      </c>
    </row>
    <row r="54" spans="1:28" x14ac:dyDescent="0.3">
      <c r="A54" t="s">
        <v>54</v>
      </c>
      <c r="B54" s="4">
        <v>45874.122870370367</v>
      </c>
      <c r="C54" s="8" t="s">
        <v>1</v>
      </c>
      <c r="D54">
        <v>1001</v>
      </c>
      <c r="E54" s="8" t="s">
        <v>14</v>
      </c>
      <c r="F54">
        <v>6</v>
      </c>
      <c r="G54">
        <v>272</v>
      </c>
      <c r="H54" s="8" t="str">
        <f>_xlfn.XLOOKUP(E54,Products!$A$2:$A$7,Products!$B$2:$B$7,"Not Found",0)</f>
        <v>Electronics</v>
      </c>
      <c r="I54">
        <f>_xlfn.XLOOKUP(E54,Products!$A$2:$A$7,Products!$D$2:$D$7,"Not Found", 0)</f>
        <v>469</v>
      </c>
      <c r="L54">
        <f>_xlfn.XLOOKUP(E54,Products!$A$2:$A$7,Products!$E$2:$E$7,"Not Found", 0)</f>
        <v>0.22</v>
      </c>
      <c r="M54">
        <f t="shared" si="9"/>
        <v>45900</v>
      </c>
      <c r="N54">
        <f>_xlfn.XLOOKUP(A54, Operations!$A:$A, Operations!$B:$B, 0)</f>
        <v>2</v>
      </c>
      <c r="O54">
        <f>_xlfn.XLOOKUP(A54, Operations!$A:$A, Operations!$C:$C, 0)</f>
        <v>0.1</v>
      </c>
      <c r="P54">
        <f>_xlfn.XLOOKUP(M54, Finance!$A:$A, Finance!$B:$B, 0)</f>
        <v>36734</v>
      </c>
      <c r="Q54">
        <f>_xlfn.XLOOKUP(M54, Finance!$A:$A, Finance!$C:$C, 0)</f>
        <v>93760</v>
      </c>
      <c r="R54">
        <f>_xlfn.XLOOKUP(M54, Finance!$A:$A, Finance!$D:$D, 0)</f>
        <v>16230</v>
      </c>
      <c r="S54">
        <f t="shared" si="10"/>
        <v>1632</v>
      </c>
      <c r="T54">
        <f t="shared" si="11"/>
        <v>1272.96</v>
      </c>
      <c r="U54">
        <f t="shared" si="12"/>
        <v>11</v>
      </c>
      <c r="V54">
        <f t="shared" si="13"/>
        <v>3339.4545454545455</v>
      </c>
      <c r="W54">
        <f t="shared" si="14"/>
        <v>8523.636363636364</v>
      </c>
      <c r="X54">
        <f t="shared" si="15"/>
        <v>1475.4545454545455</v>
      </c>
      <c r="Y54">
        <f t="shared" si="16"/>
        <v>-14520.545454545456</v>
      </c>
      <c r="Z54">
        <f t="shared" si="17"/>
        <v>23279</v>
      </c>
      <c r="AA54" t="str" cm="1">
        <f t="array" ref="AA54">_xlfn.IFS(Z54&gt;50000, "VIP", Z54&gt;=20000, "Regular", TRUE, "Low Value")</f>
        <v>Regular</v>
      </c>
      <c r="AB54" s="8" t="str">
        <f>INDEX(Products!$B:$B, MATCH(E54, Products!$A:$A, 0))</f>
        <v>Electronics</v>
      </c>
    </row>
    <row r="55" spans="1:28" x14ac:dyDescent="0.3">
      <c r="A55" t="s">
        <v>53</v>
      </c>
      <c r="B55" s="4">
        <v>45875.450671296298</v>
      </c>
      <c r="C55" s="8" t="s">
        <v>11</v>
      </c>
      <c r="D55">
        <v>1014</v>
      </c>
      <c r="E55" s="8" t="s">
        <v>8</v>
      </c>
      <c r="F55">
        <v>9</v>
      </c>
      <c r="G55">
        <v>1794</v>
      </c>
      <c r="H55" s="8" t="str">
        <f>_xlfn.XLOOKUP(E55,Products!$A$2:$A$7,Products!$B$2:$B$7,"Not Found",0)</f>
        <v>Accessories</v>
      </c>
      <c r="I55">
        <f>_xlfn.XLOOKUP(E55,Products!$A$2:$A$7,Products!$D$2:$D$7,"Not Found", 0)</f>
        <v>323</v>
      </c>
      <c r="L55">
        <f>_xlfn.XLOOKUP(E55,Products!$A$2:$A$7,Products!$E$2:$E$7,"Not Found", 0)</f>
        <v>0.1</v>
      </c>
      <c r="M55">
        <f t="shared" si="9"/>
        <v>45900</v>
      </c>
      <c r="N55">
        <f>_xlfn.XLOOKUP(A55, Operations!$A:$A, Operations!$B:$B, 0)</f>
        <v>6</v>
      </c>
      <c r="O55">
        <f>_xlfn.XLOOKUP(A55, Operations!$A:$A, Operations!$C:$C, 0)</f>
        <v>0.08</v>
      </c>
      <c r="P55">
        <f>_xlfn.XLOOKUP(M55, Finance!$A:$A, Finance!$B:$B, 0)</f>
        <v>36734</v>
      </c>
      <c r="Q55">
        <f>_xlfn.XLOOKUP(M55, Finance!$A:$A, Finance!$C:$C, 0)</f>
        <v>93760</v>
      </c>
      <c r="R55">
        <f>_xlfn.XLOOKUP(M55, Finance!$A:$A, Finance!$D:$D, 0)</f>
        <v>16230</v>
      </c>
      <c r="S55">
        <f t="shared" si="10"/>
        <v>16146</v>
      </c>
      <c r="T55">
        <f t="shared" si="11"/>
        <v>14531.4</v>
      </c>
      <c r="U55">
        <f t="shared" si="12"/>
        <v>11</v>
      </c>
      <c r="V55">
        <f t="shared" si="13"/>
        <v>3339.4545454545455</v>
      </c>
      <c r="W55">
        <f t="shared" si="14"/>
        <v>8523.636363636364</v>
      </c>
      <c r="X55">
        <f t="shared" si="15"/>
        <v>1475.4545454545455</v>
      </c>
      <c r="Y55">
        <f t="shared" si="16"/>
        <v>-99.545454545455414</v>
      </c>
      <c r="Z55">
        <f t="shared" si="17"/>
        <v>31571</v>
      </c>
      <c r="AA55" t="str" cm="1">
        <f t="array" ref="AA55">_xlfn.IFS(Z55&gt;50000, "VIP", Z55&gt;=20000, "Regular", TRUE, "Low Value")</f>
        <v>Regular</v>
      </c>
      <c r="AB55" s="8" t="str">
        <f>INDEX(Products!$B:$B, MATCH(E55, Products!$A:$A, 0))</f>
        <v>Accessories</v>
      </c>
    </row>
    <row r="56" spans="1:28" x14ac:dyDescent="0.3">
      <c r="A56" t="s">
        <v>52</v>
      </c>
      <c r="B56" s="4">
        <v>45895.845381944448</v>
      </c>
      <c r="C56" s="8" t="s">
        <v>11</v>
      </c>
      <c r="D56">
        <v>1006</v>
      </c>
      <c r="E56" s="8" t="s">
        <v>0</v>
      </c>
      <c r="F56">
        <v>5</v>
      </c>
      <c r="G56">
        <v>757</v>
      </c>
      <c r="H56" s="8" t="str">
        <f>_xlfn.XLOOKUP(E56,Products!$A$2:$A$7,Products!$B$2:$B$7,"Not Found",0)</f>
        <v>Electronics</v>
      </c>
      <c r="I56">
        <f>_xlfn.XLOOKUP(E56,Products!$A$2:$A$7,Products!$D$2:$D$7,"Not Found", 0)</f>
        <v>463</v>
      </c>
      <c r="L56">
        <f>_xlfn.XLOOKUP(E56,Products!$A$2:$A$7,Products!$E$2:$E$7,"Not Found", 0)</f>
        <v>0.23</v>
      </c>
      <c r="M56">
        <f t="shared" si="9"/>
        <v>45900</v>
      </c>
      <c r="N56">
        <f>_xlfn.XLOOKUP(A56, Operations!$A:$A, Operations!$B:$B, 0)</f>
        <v>4</v>
      </c>
      <c r="O56">
        <f>_xlfn.XLOOKUP(A56, Operations!$A:$A, Operations!$C:$C, 0)</f>
        <v>0.05</v>
      </c>
      <c r="P56">
        <f>_xlfn.XLOOKUP(M56, Finance!$A:$A, Finance!$B:$B, 0)</f>
        <v>36734</v>
      </c>
      <c r="Q56">
        <f>_xlfn.XLOOKUP(M56, Finance!$A:$A, Finance!$C:$C, 0)</f>
        <v>93760</v>
      </c>
      <c r="R56">
        <f>_xlfn.XLOOKUP(M56, Finance!$A:$A, Finance!$D:$D, 0)</f>
        <v>16230</v>
      </c>
      <c r="S56">
        <f t="shared" si="10"/>
        <v>3785</v>
      </c>
      <c r="T56">
        <f t="shared" si="11"/>
        <v>2914.4500000000003</v>
      </c>
      <c r="U56">
        <f t="shared" si="12"/>
        <v>11</v>
      </c>
      <c r="V56">
        <f t="shared" si="13"/>
        <v>3339.4545454545455</v>
      </c>
      <c r="W56">
        <f t="shared" si="14"/>
        <v>8523.636363636364</v>
      </c>
      <c r="X56">
        <f t="shared" si="15"/>
        <v>1475.4545454545455</v>
      </c>
      <c r="Y56">
        <f t="shared" si="16"/>
        <v>-11868.545454545456</v>
      </c>
      <c r="Z56">
        <f t="shared" si="17"/>
        <v>34295</v>
      </c>
      <c r="AA56" t="str" cm="1">
        <f t="array" ref="AA56">_xlfn.IFS(Z56&gt;50000, "VIP", Z56&gt;=20000, "Regular", TRUE, "Low Value")</f>
        <v>Regular</v>
      </c>
      <c r="AB56" s="8" t="str">
        <f>INDEX(Products!$B:$B, MATCH(E56, Products!$A:$A, 0))</f>
        <v>Electronics</v>
      </c>
    </row>
    <row r="57" spans="1:28" x14ac:dyDescent="0.3">
      <c r="A57" t="s">
        <v>51</v>
      </c>
      <c r="B57" s="4">
        <v>45858.359560185178</v>
      </c>
      <c r="C57" s="8" t="s">
        <v>4</v>
      </c>
      <c r="D57">
        <v>1017</v>
      </c>
      <c r="E57" s="8" t="s">
        <v>21</v>
      </c>
      <c r="F57">
        <v>9</v>
      </c>
      <c r="G57">
        <v>472</v>
      </c>
      <c r="H57" s="8" t="str">
        <f>_xlfn.XLOOKUP(E57,Products!$A$2:$A$7,Products!$B$2:$B$7,"Not Found",0)</f>
        <v>Electronics</v>
      </c>
      <c r="I57">
        <f>_xlfn.XLOOKUP(E57,Products!$A$2:$A$7,Products!$D$2:$D$7,"Not Found", 0)</f>
        <v>97</v>
      </c>
      <c r="L57">
        <f>_xlfn.XLOOKUP(E57,Products!$A$2:$A$7,Products!$E$2:$E$7,"Not Found", 0)</f>
        <v>0.08</v>
      </c>
      <c r="M57">
        <f t="shared" si="9"/>
        <v>45869</v>
      </c>
      <c r="N57">
        <f>_xlfn.XLOOKUP(A57, Operations!$A:$A, Operations!$B:$B, 0)</f>
        <v>1</v>
      </c>
      <c r="O57">
        <f>_xlfn.XLOOKUP(A57, Operations!$A:$A, Operations!$C:$C, 0)</f>
        <v>0.02</v>
      </c>
      <c r="P57">
        <f>_xlfn.XLOOKUP(M57, Finance!$A:$A, Finance!$B:$B, 0)</f>
        <v>36304</v>
      </c>
      <c r="Q57">
        <f>_xlfn.XLOOKUP(M57, Finance!$A:$A, Finance!$C:$C, 0)</f>
        <v>63297</v>
      </c>
      <c r="R57">
        <f>_xlfn.XLOOKUP(M57, Finance!$A:$A, Finance!$D:$D, 0)</f>
        <v>25453</v>
      </c>
      <c r="S57">
        <f t="shared" si="10"/>
        <v>4248</v>
      </c>
      <c r="T57">
        <f t="shared" si="11"/>
        <v>3908.1600000000003</v>
      </c>
      <c r="U57">
        <f t="shared" si="12"/>
        <v>12</v>
      </c>
      <c r="V57">
        <f t="shared" si="13"/>
        <v>3025.3333333333335</v>
      </c>
      <c r="W57">
        <f t="shared" si="14"/>
        <v>5274.75</v>
      </c>
      <c r="X57">
        <f t="shared" si="15"/>
        <v>2121.0833333333335</v>
      </c>
      <c r="Y57">
        <f t="shared" si="16"/>
        <v>-7046.1666666666679</v>
      </c>
      <c r="Z57">
        <f t="shared" si="17"/>
        <v>38912</v>
      </c>
      <c r="AA57" t="str" cm="1">
        <f t="array" ref="AA57">_xlfn.IFS(Z57&gt;50000, "VIP", Z57&gt;=20000, "Regular", TRUE, "Low Value")</f>
        <v>Regular</v>
      </c>
      <c r="AB57" s="8" t="str">
        <f>INDEX(Products!$B:$B, MATCH(E57, Products!$A:$A, 0))</f>
        <v>Electronics</v>
      </c>
    </row>
    <row r="58" spans="1:28" x14ac:dyDescent="0.3">
      <c r="A58" t="s">
        <v>50</v>
      </c>
      <c r="B58" s="4">
        <v>45862.545439814807</v>
      </c>
      <c r="C58" s="8" t="s">
        <v>1</v>
      </c>
      <c r="D58">
        <v>1002</v>
      </c>
      <c r="E58" s="8" t="s">
        <v>14</v>
      </c>
      <c r="F58">
        <v>9</v>
      </c>
      <c r="G58">
        <v>132</v>
      </c>
      <c r="H58" s="8" t="str">
        <f>_xlfn.XLOOKUP(E58,Products!$A$2:$A$7,Products!$B$2:$B$7,"Not Found",0)</f>
        <v>Electronics</v>
      </c>
      <c r="I58">
        <f>_xlfn.XLOOKUP(E58,Products!$A$2:$A$7,Products!$D$2:$D$7,"Not Found", 0)</f>
        <v>469</v>
      </c>
      <c r="L58">
        <f>_xlfn.XLOOKUP(E58,Products!$A$2:$A$7,Products!$E$2:$E$7,"Not Found", 0)</f>
        <v>0.22</v>
      </c>
      <c r="M58">
        <f t="shared" si="9"/>
        <v>45869</v>
      </c>
      <c r="N58">
        <f>_xlfn.XLOOKUP(A58, Operations!$A:$A, Operations!$B:$B, 0)</f>
        <v>7</v>
      </c>
      <c r="O58">
        <f>_xlfn.XLOOKUP(A58, Operations!$A:$A, Operations!$C:$C, 0)</f>
        <v>0.01</v>
      </c>
      <c r="P58">
        <f>_xlfn.XLOOKUP(M58, Finance!$A:$A, Finance!$B:$B, 0)</f>
        <v>36304</v>
      </c>
      <c r="Q58">
        <f>_xlfn.XLOOKUP(M58, Finance!$A:$A, Finance!$C:$C, 0)</f>
        <v>63297</v>
      </c>
      <c r="R58">
        <f>_xlfn.XLOOKUP(M58, Finance!$A:$A, Finance!$D:$D, 0)</f>
        <v>25453</v>
      </c>
      <c r="S58">
        <f t="shared" si="10"/>
        <v>1188</v>
      </c>
      <c r="T58">
        <f t="shared" si="11"/>
        <v>926.64</v>
      </c>
      <c r="U58">
        <f t="shared" si="12"/>
        <v>12</v>
      </c>
      <c r="V58">
        <f t="shared" si="13"/>
        <v>3025.3333333333335</v>
      </c>
      <c r="W58">
        <f t="shared" si="14"/>
        <v>5274.75</v>
      </c>
      <c r="X58">
        <f t="shared" si="15"/>
        <v>2121.0833333333335</v>
      </c>
      <c r="Y58">
        <f t="shared" si="16"/>
        <v>-13454.166666666668</v>
      </c>
      <c r="Z58">
        <f t="shared" si="17"/>
        <v>14833</v>
      </c>
      <c r="AA58" t="str" cm="1">
        <f t="array" ref="AA58">_xlfn.IFS(Z58&gt;50000, "VIP", Z58&gt;=20000, "Regular", TRUE, "Low Value")</f>
        <v>Low Value</v>
      </c>
      <c r="AB58" s="8" t="str">
        <f>INDEX(Products!$B:$B, MATCH(E58, Products!$A:$A, 0))</f>
        <v>Electronics</v>
      </c>
    </row>
    <row r="59" spans="1:28" x14ac:dyDescent="0.3">
      <c r="A59" t="s">
        <v>49</v>
      </c>
      <c r="B59" s="4">
        <v>45861.291134259263</v>
      </c>
      <c r="C59" s="8" t="s">
        <v>9</v>
      </c>
      <c r="D59">
        <v>1018</v>
      </c>
      <c r="E59" s="8" t="s">
        <v>14</v>
      </c>
      <c r="F59">
        <v>4</v>
      </c>
      <c r="G59">
        <v>1817</v>
      </c>
      <c r="H59" s="8" t="str">
        <f>_xlfn.XLOOKUP(E59,Products!$A$2:$A$7,Products!$B$2:$B$7,"Not Found",0)</f>
        <v>Electronics</v>
      </c>
      <c r="I59">
        <f>_xlfn.XLOOKUP(E59,Products!$A$2:$A$7,Products!$D$2:$D$7,"Not Found", 0)</f>
        <v>469</v>
      </c>
      <c r="L59">
        <f>_xlfn.XLOOKUP(E59,Products!$A$2:$A$7,Products!$E$2:$E$7,"Not Found", 0)</f>
        <v>0.22</v>
      </c>
      <c r="M59">
        <f t="shared" si="9"/>
        <v>45869</v>
      </c>
      <c r="N59">
        <f>_xlfn.XLOOKUP(A59, Operations!$A:$A, Operations!$B:$B, 0)</f>
        <v>3</v>
      </c>
      <c r="O59">
        <f>_xlfn.XLOOKUP(A59, Operations!$A:$A, Operations!$C:$C, 0)</f>
        <v>0.1</v>
      </c>
      <c r="P59">
        <f>_xlfn.XLOOKUP(M59, Finance!$A:$A, Finance!$B:$B, 0)</f>
        <v>36304</v>
      </c>
      <c r="Q59">
        <f>_xlfn.XLOOKUP(M59, Finance!$A:$A, Finance!$C:$C, 0)</f>
        <v>63297</v>
      </c>
      <c r="R59">
        <f>_xlfn.XLOOKUP(M59, Finance!$A:$A, Finance!$D:$D, 0)</f>
        <v>25453</v>
      </c>
      <c r="S59">
        <f t="shared" si="10"/>
        <v>7268</v>
      </c>
      <c r="T59">
        <f t="shared" si="11"/>
        <v>5669.04</v>
      </c>
      <c r="U59">
        <f t="shared" si="12"/>
        <v>12</v>
      </c>
      <c r="V59">
        <f t="shared" si="13"/>
        <v>3025.3333333333335</v>
      </c>
      <c r="W59">
        <f t="shared" si="14"/>
        <v>5274.75</v>
      </c>
      <c r="X59">
        <f t="shared" si="15"/>
        <v>2121.0833333333335</v>
      </c>
      <c r="Y59">
        <f t="shared" si="16"/>
        <v>-5029.166666666667</v>
      </c>
      <c r="Z59">
        <f t="shared" si="17"/>
        <v>31997</v>
      </c>
      <c r="AA59" t="str" cm="1">
        <f t="array" ref="AA59">_xlfn.IFS(Z59&gt;50000, "VIP", Z59&gt;=20000, "Regular", TRUE, "Low Value")</f>
        <v>Regular</v>
      </c>
      <c r="AB59" s="8" t="str">
        <f>INDEX(Products!$B:$B, MATCH(E59, Products!$A:$A, 0))</f>
        <v>Electronics</v>
      </c>
    </row>
    <row r="60" spans="1:28" x14ac:dyDescent="0.3">
      <c r="A60" t="s">
        <v>48</v>
      </c>
      <c r="B60" s="4">
        <v>45889.657800925917</v>
      </c>
      <c r="C60" s="8" t="s">
        <v>9</v>
      </c>
      <c r="D60">
        <v>1019</v>
      </c>
      <c r="E60" s="8" t="s">
        <v>0</v>
      </c>
      <c r="F60">
        <v>5</v>
      </c>
      <c r="G60">
        <v>698</v>
      </c>
      <c r="H60" s="8" t="str">
        <f>_xlfn.XLOOKUP(E60,Products!$A$2:$A$7,Products!$B$2:$B$7,"Not Found",0)</f>
        <v>Electronics</v>
      </c>
      <c r="I60">
        <f>_xlfn.XLOOKUP(E60,Products!$A$2:$A$7,Products!$D$2:$D$7,"Not Found", 0)</f>
        <v>463</v>
      </c>
      <c r="L60">
        <f>_xlfn.XLOOKUP(E60,Products!$A$2:$A$7,Products!$E$2:$E$7,"Not Found", 0)</f>
        <v>0.23</v>
      </c>
      <c r="M60">
        <f t="shared" si="9"/>
        <v>45900</v>
      </c>
      <c r="N60">
        <f>_xlfn.XLOOKUP(A60, Operations!$A:$A, Operations!$B:$B, 0)</f>
        <v>4</v>
      </c>
      <c r="O60">
        <f>_xlfn.XLOOKUP(A60, Operations!$A:$A, Operations!$C:$C, 0)</f>
        <v>7.0000000000000007E-2</v>
      </c>
      <c r="P60">
        <f>_xlfn.XLOOKUP(M60, Finance!$A:$A, Finance!$B:$B, 0)</f>
        <v>36734</v>
      </c>
      <c r="Q60">
        <f>_xlfn.XLOOKUP(M60, Finance!$A:$A, Finance!$C:$C, 0)</f>
        <v>93760</v>
      </c>
      <c r="R60">
        <f>_xlfn.XLOOKUP(M60, Finance!$A:$A, Finance!$D:$D, 0)</f>
        <v>16230</v>
      </c>
      <c r="S60">
        <f t="shared" si="10"/>
        <v>3490</v>
      </c>
      <c r="T60">
        <f t="shared" si="11"/>
        <v>2687.3</v>
      </c>
      <c r="U60">
        <f t="shared" si="12"/>
        <v>11</v>
      </c>
      <c r="V60">
        <f t="shared" si="13"/>
        <v>3339.4545454545455</v>
      </c>
      <c r="W60">
        <f t="shared" si="14"/>
        <v>8523.636363636364</v>
      </c>
      <c r="X60">
        <f t="shared" si="15"/>
        <v>1475.4545454545455</v>
      </c>
      <c r="Y60">
        <f t="shared" si="16"/>
        <v>-12163.545454545456</v>
      </c>
      <c r="Z60">
        <f t="shared" si="17"/>
        <v>20633</v>
      </c>
      <c r="AA60" t="str" cm="1">
        <f t="array" ref="AA60">_xlfn.IFS(Z60&gt;50000, "VIP", Z60&gt;=20000, "Regular", TRUE, "Low Value")</f>
        <v>Regular</v>
      </c>
      <c r="AB60" s="8" t="str">
        <f>INDEX(Products!$B:$B, MATCH(E60, Products!$A:$A, 0))</f>
        <v>Electronics</v>
      </c>
    </row>
    <row r="61" spans="1:28" x14ac:dyDescent="0.3">
      <c r="A61" t="s">
        <v>47</v>
      </c>
      <c r="B61" s="4">
        <v>45898.258506944447</v>
      </c>
      <c r="C61" s="8" t="s">
        <v>4</v>
      </c>
      <c r="D61">
        <v>1003</v>
      </c>
      <c r="E61" s="8" t="s">
        <v>0</v>
      </c>
      <c r="F61">
        <v>3</v>
      </c>
      <c r="G61">
        <v>651</v>
      </c>
      <c r="H61" s="8" t="str">
        <f>_xlfn.XLOOKUP(E61,Products!$A$2:$A$7,Products!$B$2:$B$7,"Not Found",0)</f>
        <v>Electronics</v>
      </c>
      <c r="I61">
        <f>_xlfn.XLOOKUP(E61,Products!$A$2:$A$7,Products!$D$2:$D$7,"Not Found", 0)</f>
        <v>463</v>
      </c>
      <c r="L61">
        <f>_xlfn.XLOOKUP(E61,Products!$A$2:$A$7,Products!$E$2:$E$7,"Not Found", 0)</f>
        <v>0.23</v>
      </c>
      <c r="M61">
        <f t="shared" si="9"/>
        <v>45900</v>
      </c>
      <c r="N61">
        <f>_xlfn.XLOOKUP(A61, Operations!$A:$A, Operations!$B:$B, 0)</f>
        <v>5</v>
      </c>
      <c r="O61">
        <f>_xlfn.XLOOKUP(A61, Operations!$A:$A, Operations!$C:$C, 0)</f>
        <v>0.09</v>
      </c>
      <c r="P61">
        <f>_xlfn.XLOOKUP(M61, Finance!$A:$A, Finance!$B:$B, 0)</f>
        <v>36734</v>
      </c>
      <c r="Q61">
        <f>_xlfn.XLOOKUP(M61, Finance!$A:$A, Finance!$C:$C, 0)</f>
        <v>93760</v>
      </c>
      <c r="R61">
        <f>_xlfn.XLOOKUP(M61, Finance!$A:$A, Finance!$D:$D, 0)</f>
        <v>16230</v>
      </c>
      <c r="S61">
        <f t="shared" si="10"/>
        <v>1953</v>
      </c>
      <c r="T61">
        <f t="shared" si="11"/>
        <v>1503.81</v>
      </c>
      <c r="U61">
        <f t="shared" si="12"/>
        <v>11</v>
      </c>
      <c r="V61">
        <f t="shared" si="13"/>
        <v>3339.4545454545455</v>
      </c>
      <c r="W61">
        <f t="shared" si="14"/>
        <v>8523.636363636364</v>
      </c>
      <c r="X61">
        <f t="shared" si="15"/>
        <v>1475.4545454545455</v>
      </c>
      <c r="Y61">
        <f t="shared" si="16"/>
        <v>-12774.545454545456</v>
      </c>
      <c r="Z61">
        <f t="shared" si="17"/>
        <v>31251</v>
      </c>
      <c r="AA61" t="str" cm="1">
        <f t="array" ref="AA61">_xlfn.IFS(Z61&gt;50000, "VIP", Z61&gt;=20000, "Regular", TRUE, "Low Value")</f>
        <v>Regular</v>
      </c>
      <c r="AB61" s="8" t="str">
        <f>INDEX(Products!$B:$B, MATCH(E61, Products!$A:$A, 0))</f>
        <v>Electronics</v>
      </c>
    </row>
    <row r="62" spans="1:28" x14ac:dyDescent="0.3">
      <c r="A62" t="s">
        <v>106</v>
      </c>
      <c r="B62" s="4">
        <v>45770.271574074082</v>
      </c>
      <c r="C62" s="8" t="s">
        <v>9</v>
      </c>
      <c r="D62">
        <v>1016</v>
      </c>
      <c r="E62" s="8" t="s">
        <v>31</v>
      </c>
      <c r="F62">
        <v>7</v>
      </c>
      <c r="G62">
        <v>1039</v>
      </c>
      <c r="H62" s="8" t="str">
        <f>_xlfn.XLOOKUP(E62,Products!$A$2:$A$7,Products!$B$2:$B$7,"Not Found",0)</f>
        <v>Electronics</v>
      </c>
      <c r="I62">
        <f>_xlfn.XLOOKUP(E62,Products!$A$2:$A$7,Products!$D$2:$D$7,"Not Found", 0)</f>
        <v>492</v>
      </c>
      <c r="L62">
        <f>_xlfn.XLOOKUP(E62,Products!$A$2:$A$7,Products!$E$2:$E$7,"Not Found", 0)</f>
        <v>0.14000000000000001</v>
      </c>
      <c r="M62">
        <f t="shared" si="9"/>
        <v>45777</v>
      </c>
      <c r="N62">
        <f>_xlfn.XLOOKUP(A62, Operations!$A:$A, Operations!$B:$B, 0)</f>
        <v>6</v>
      </c>
      <c r="O62">
        <f>_xlfn.XLOOKUP(A62, Operations!$A:$A, Operations!$C:$C, 0)</f>
        <v>0.05</v>
      </c>
      <c r="P62">
        <f>_xlfn.XLOOKUP(M62, Finance!$A:$A, Finance!$B:$B, 0)</f>
        <v>44423</v>
      </c>
      <c r="Q62">
        <f>_xlfn.XLOOKUP(M62, Finance!$A:$A, Finance!$C:$C, 0)</f>
        <v>90674</v>
      </c>
      <c r="R62">
        <f>_xlfn.XLOOKUP(M62, Finance!$A:$A, Finance!$D:$D, 0)</f>
        <v>21152</v>
      </c>
      <c r="S62">
        <f t="shared" si="10"/>
        <v>7273</v>
      </c>
      <c r="T62">
        <f t="shared" si="11"/>
        <v>6254.78</v>
      </c>
      <c r="U62">
        <f t="shared" si="12"/>
        <v>14</v>
      </c>
      <c r="V62">
        <f t="shared" si="13"/>
        <v>3173.0714285714284</v>
      </c>
      <c r="W62">
        <f t="shared" si="14"/>
        <v>6476.7142857142853</v>
      </c>
      <c r="X62">
        <f t="shared" si="15"/>
        <v>1510.8571428571429</v>
      </c>
      <c r="Y62">
        <f t="shared" si="16"/>
        <v>-7331.6428571428569</v>
      </c>
      <c r="Z62">
        <f t="shared" si="17"/>
        <v>22009</v>
      </c>
      <c r="AA62" t="str" cm="1">
        <f t="array" ref="AA62">_xlfn.IFS(Z62&gt;50000, "VIP", Z62&gt;=20000, "Regular", TRUE, "Low Value")</f>
        <v>Regular</v>
      </c>
      <c r="AB62" s="8" t="str">
        <f>INDEX(Products!$B:$B, MATCH(E62, Products!$A:$A, 0))</f>
        <v>Electronics</v>
      </c>
    </row>
    <row r="63" spans="1:28" x14ac:dyDescent="0.3">
      <c r="A63" t="s">
        <v>105</v>
      </c>
      <c r="B63" s="4">
        <v>45821.985358796293</v>
      </c>
      <c r="C63" s="8" t="s">
        <v>4</v>
      </c>
      <c r="D63">
        <v>1010</v>
      </c>
      <c r="E63" s="8" t="s">
        <v>21</v>
      </c>
      <c r="F63">
        <v>2</v>
      </c>
      <c r="G63">
        <v>809</v>
      </c>
      <c r="H63" s="8" t="str">
        <f>_xlfn.XLOOKUP(E63,Products!$A$2:$A$7,Products!$B$2:$B$7,"Not Found",0)</f>
        <v>Electronics</v>
      </c>
      <c r="I63">
        <f>_xlfn.XLOOKUP(E63,Products!$A$2:$A$7,Products!$D$2:$D$7,"Not Found", 0)</f>
        <v>97</v>
      </c>
      <c r="L63">
        <f>_xlfn.XLOOKUP(E63,Products!$A$2:$A$7,Products!$E$2:$E$7,"Not Found", 0)</f>
        <v>0.08</v>
      </c>
      <c r="M63">
        <f t="shared" si="9"/>
        <v>45838</v>
      </c>
      <c r="N63">
        <f>_xlfn.XLOOKUP(A63, Operations!$A:$A, Operations!$B:$B, 0)</f>
        <v>5</v>
      </c>
      <c r="O63">
        <f>_xlfn.XLOOKUP(A63, Operations!$A:$A, Operations!$C:$C, 0)</f>
        <v>0</v>
      </c>
      <c r="P63">
        <f>_xlfn.XLOOKUP(M63, Finance!$A:$A, Finance!$B:$B, 0)</f>
        <v>20079</v>
      </c>
      <c r="Q63">
        <f>_xlfn.XLOOKUP(M63, Finance!$A:$A, Finance!$C:$C, 0)</f>
        <v>99954</v>
      </c>
      <c r="R63">
        <f>_xlfn.XLOOKUP(M63, Finance!$A:$A, Finance!$D:$D, 0)</f>
        <v>15769</v>
      </c>
      <c r="S63">
        <f t="shared" si="10"/>
        <v>1618</v>
      </c>
      <c r="T63">
        <f t="shared" si="11"/>
        <v>1488.5600000000002</v>
      </c>
      <c r="U63">
        <f t="shared" si="12"/>
        <v>7</v>
      </c>
      <c r="V63">
        <f t="shared" si="13"/>
        <v>2868.4285714285716</v>
      </c>
      <c r="W63">
        <f t="shared" si="14"/>
        <v>14279.142857142857</v>
      </c>
      <c r="X63">
        <f t="shared" si="15"/>
        <v>2252.7142857142858</v>
      </c>
      <c r="Y63">
        <f t="shared" si="16"/>
        <v>-17976.285714285714</v>
      </c>
      <c r="Z63">
        <f t="shared" si="17"/>
        <v>23446</v>
      </c>
      <c r="AA63" t="str" cm="1">
        <f t="array" ref="AA63">_xlfn.IFS(Z63&gt;50000, "VIP", Z63&gt;=20000, "Regular", TRUE, "Low Value")</f>
        <v>Regular</v>
      </c>
      <c r="AB63" s="8" t="str">
        <f>INDEX(Products!$B:$B, MATCH(E63, Products!$A:$A, 0))</f>
        <v>Electronics</v>
      </c>
    </row>
    <row r="64" spans="1:28" x14ac:dyDescent="0.3">
      <c r="A64" t="s">
        <v>104</v>
      </c>
      <c r="B64" s="4">
        <v>45774.624965277777</v>
      </c>
      <c r="C64" s="8" t="s">
        <v>4</v>
      </c>
      <c r="D64">
        <v>1014</v>
      </c>
      <c r="E64" s="8" t="s">
        <v>0</v>
      </c>
      <c r="F64">
        <v>5</v>
      </c>
      <c r="G64">
        <v>1951</v>
      </c>
      <c r="H64" s="8" t="str">
        <f>_xlfn.XLOOKUP(E64,Products!$A$2:$A$7,Products!$B$2:$B$7,"Not Found",0)</f>
        <v>Electronics</v>
      </c>
      <c r="I64">
        <f>_xlfn.XLOOKUP(E64,Products!$A$2:$A$7,Products!$D$2:$D$7,"Not Found", 0)</f>
        <v>463</v>
      </c>
      <c r="L64">
        <f>_xlfn.XLOOKUP(E64,Products!$A$2:$A$7,Products!$E$2:$E$7,"Not Found", 0)</f>
        <v>0.23</v>
      </c>
      <c r="M64">
        <f t="shared" si="9"/>
        <v>45777</v>
      </c>
      <c r="N64">
        <f>_xlfn.XLOOKUP(A64, Operations!$A:$A, Operations!$B:$B, 0)</f>
        <v>3</v>
      </c>
      <c r="O64">
        <f>_xlfn.XLOOKUP(A64, Operations!$A:$A, Operations!$C:$C, 0)</f>
        <v>0.04</v>
      </c>
      <c r="P64">
        <f>_xlfn.XLOOKUP(M64, Finance!$A:$A, Finance!$B:$B, 0)</f>
        <v>44423</v>
      </c>
      <c r="Q64">
        <f>_xlfn.XLOOKUP(M64, Finance!$A:$A, Finance!$C:$C, 0)</f>
        <v>90674</v>
      </c>
      <c r="R64">
        <f>_xlfn.XLOOKUP(M64, Finance!$A:$A, Finance!$D:$D, 0)</f>
        <v>21152</v>
      </c>
      <c r="S64">
        <f t="shared" si="10"/>
        <v>9755</v>
      </c>
      <c r="T64">
        <f t="shared" si="11"/>
        <v>7511.35</v>
      </c>
      <c r="U64">
        <f t="shared" si="12"/>
        <v>14</v>
      </c>
      <c r="V64">
        <f t="shared" si="13"/>
        <v>3173.0714285714284</v>
      </c>
      <c r="W64">
        <f t="shared" si="14"/>
        <v>6476.7142857142853</v>
      </c>
      <c r="X64">
        <f t="shared" si="15"/>
        <v>1510.8571428571429</v>
      </c>
      <c r="Y64">
        <f t="shared" si="16"/>
        <v>-3720.6428571428569</v>
      </c>
      <c r="Z64">
        <f t="shared" si="17"/>
        <v>31571</v>
      </c>
      <c r="AA64" t="str" cm="1">
        <f t="array" ref="AA64">_xlfn.IFS(Z64&gt;50000, "VIP", Z64&gt;=20000, "Regular", TRUE, "Low Value")</f>
        <v>Regular</v>
      </c>
      <c r="AB64" s="8" t="str">
        <f>INDEX(Products!$B:$B, MATCH(E64, Products!$A:$A, 0))</f>
        <v>Electronics</v>
      </c>
    </row>
    <row r="65" spans="1:28" x14ac:dyDescent="0.3">
      <c r="A65" t="s">
        <v>103</v>
      </c>
      <c r="B65" s="4">
        <v>45789.475810185177</v>
      </c>
      <c r="C65" s="8" t="s">
        <v>11</v>
      </c>
      <c r="D65">
        <v>1009</v>
      </c>
      <c r="E65" s="8" t="s">
        <v>21</v>
      </c>
      <c r="F65">
        <v>1</v>
      </c>
      <c r="G65">
        <v>1187</v>
      </c>
      <c r="H65" s="8" t="str">
        <f>_xlfn.XLOOKUP(E65,Products!$A$2:$A$7,Products!$B$2:$B$7,"Not Found",0)</f>
        <v>Electronics</v>
      </c>
      <c r="I65">
        <f>_xlfn.XLOOKUP(E65,Products!$A$2:$A$7,Products!$D$2:$D$7,"Not Found", 0)</f>
        <v>97</v>
      </c>
      <c r="L65">
        <f>_xlfn.XLOOKUP(E65,Products!$A$2:$A$7,Products!$E$2:$E$7,"Not Found", 0)</f>
        <v>0.08</v>
      </c>
      <c r="M65">
        <f t="shared" si="9"/>
        <v>45808</v>
      </c>
      <c r="N65">
        <f>_xlfn.XLOOKUP(A65, Operations!$A:$A, Operations!$B:$B, 0)</f>
        <v>9</v>
      </c>
      <c r="O65">
        <f>_xlfn.XLOOKUP(A65, Operations!$A:$A, Operations!$C:$C, 0)</f>
        <v>0.05</v>
      </c>
      <c r="P65">
        <f>_xlfn.XLOOKUP(M65, Finance!$A:$A, Finance!$B:$B, 0)</f>
        <v>32119</v>
      </c>
      <c r="Q65">
        <f>_xlfn.XLOOKUP(M65, Finance!$A:$A, Finance!$C:$C, 0)</f>
        <v>55646</v>
      </c>
      <c r="R65">
        <f>_xlfn.XLOOKUP(M65, Finance!$A:$A, Finance!$D:$D, 0)</f>
        <v>19723</v>
      </c>
      <c r="S65">
        <f t="shared" si="10"/>
        <v>1187</v>
      </c>
      <c r="T65">
        <f t="shared" si="11"/>
        <v>1092.04</v>
      </c>
      <c r="U65">
        <f t="shared" si="12"/>
        <v>9</v>
      </c>
      <c r="V65">
        <f t="shared" si="13"/>
        <v>3568.7777777777778</v>
      </c>
      <c r="W65">
        <f t="shared" si="14"/>
        <v>6182.8888888888887</v>
      </c>
      <c r="X65">
        <f t="shared" si="15"/>
        <v>2191.4444444444443</v>
      </c>
      <c r="Y65">
        <f t="shared" si="16"/>
        <v>-10853.111111111109</v>
      </c>
      <c r="Z65">
        <f t="shared" si="17"/>
        <v>26022</v>
      </c>
      <c r="AA65" t="str" cm="1">
        <f t="array" ref="AA65">_xlfn.IFS(Z65&gt;50000, "VIP", Z65&gt;=20000, "Regular", TRUE, "Low Value")</f>
        <v>Regular</v>
      </c>
      <c r="AB65" s="8" t="str">
        <f>INDEX(Products!$B:$B, MATCH(E65, Products!$A:$A, 0))</f>
        <v>Electronics</v>
      </c>
    </row>
    <row r="66" spans="1:28" x14ac:dyDescent="0.3">
      <c r="A66" t="s">
        <v>102</v>
      </c>
      <c r="B66" s="4">
        <v>45771.114571759259</v>
      </c>
      <c r="C66" s="8" t="s">
        <v>9</v>
      </c>
      <c r="D66">
        <v>1018</v>
      </c>
      <c r="E66" s="8" t="s">
        <v>8</v>
      </c>
      <c r="F66">
        <v>9</v>
      </c>
      <c r="G66">
        <v>1259</v>
      </c>
      <c r="H66" s="8" t="str">
        <f>_xlfn.XLOOKUP(E66,Products!$A$2:$A$7,Products!$B$2:$B$7,"Not Found",0)</f>
        <v>Accessories</v>
      </c>
      <c r="I66">
        <f>_xlfn.XLOOKUP(E66,Products!$A$2:$A$7,Products!$D$2:$D$7,"Not Found", 0)</f>
        <v>323</v>
      </c>
      <c r="L66">
        <f>_xlfn.XLOOKUP(E66,Products!$A$2:$A$7,Products!$E$2:$E$7,"Not Found", 0)</f>
        <v>0.1</v>
      </c>
      <c r="M66">
        <f t="shared" ref="M66:M91" si="18">EOMONTH(B66,0)</f>
        <v>45777</v>
      </c>
      <c r="N66">
        <f>_xlfn.XLOOKUP(A66, Operations!$A:$A, Operations!$B:$B, 0)</f>
        <v>4</v>
      </c>
      <c r="O66">
        <f>_xlfn.XLOOKUP(A66, Operations!$A:$A, Operations!$C:$C, 0)</f>
        <v>0.04</v>
      </c>
      <c r="P66">
        <f>_xlfn.XLOOKUP(M66, Finance!$A:$A, Finance!$B:$B, 0)</f>
        <v>44423</v>
      </c>
      <c r="Q66">
        <f>_xlfn.XLOOKUP(M66, Finance!$A:$A, Finance!$C:$C, 0)</f>
        <v>90674</v>
      </c>
      <c r="R66">
        <f>_xlfn.XLOOKUP(M66, Finance!$A:$A, Finance!$D:$D, 0)</f>
        <v>21152</v>
      </c>
      <c r="S66">
        <f t="shared" ref="S66:S91" si="19">F66*G66</f>
        <v>11331</v>
      </c>
      <c r="T66">
        <f t="shared" ref="T66:T97" si="20">S66*(1-L66)</f>
        <v>10197.9</v>
      </c>
      <c r="U66">
        <f t="shared" ref="U66:U91" si="21">COUNTIF($M$2:$M$97, M66)</f>
        <v>14</v>
      </c>
      <c r="V66">
        <f t="shared" ref="V66:V97" si="22">P66/U66</f>
        <v>3173.0714285714284</v>
      </c>
      <c r="W66">
        <f t="shared" ref="W66:W91" si="23">Q66/U66</f>
        <v>6476.7142857142853</v>
      </c>
      <c r="X66">
        <f t="shared" ref="X66:X91" si="24">R66/U66</f>
        <v>1510.8571428571429</v>
      </c>
      <c r="Y66">
        <f t="shared" ref="Y66:Y97" si="25">S66 - (F66*I66) - V66 - W66 - X66</f>
        <v>-2736.6428571428569</v>
      </c>
      <c r="Z66">
        <f t="shared" ref="Z66:Z91" si="26">SUMIF($D$2:$D$97, D66, $S$2:$S$97)</f>
        <v>31997</v>
      </c>
      <c r="AA66" t="str" cm="1">
        <f t="array" ref="AA66">_xlfn.IFS(Z66&gt;50000, "VIP", Z66&gt;=20000, "Regular", TRUE, "Low Value")</f>
        <v>Regular</v>
      </c>
      <c r="AB66" s="8" t="str">
        <f>INDEX(Products!$B:$B, MATCH(E66, Products!$A:$A, 0))</f>
        <v>Accessories</v>
      </c>
    </row>
    <row r="67" spans="1:28" x14ac:dyDescent="0.3">
      <c r="A67" t="s">
        <v>101</v>
      </c>
      <c r="B67" s="4">
        <v>45833.931319444448</v>
      </c>
      <c r="C67" s="8" t="s">
        <v>9</v>
      </c>
      <c r="D67">
        <v>1010</v>
      </c>
      <c r="E67" s="8" t="s">
        <v>0</v>
      </c>
      <c r="F67">
        <v>6</v>
      </c>
      <c r="G67">
        <v>1460</v>
      </c>
      <c r="H67" s="8" t="str">
        <f>_xlfn.XLOOKUP(E67,Products!$A$2:$A$7,Products!$B$2:$B$7,"Not Found",0)</f>
        <v>Electronics</v>
      </c>
      <c r="I67">
        <f>_xlfn.XLOOKUP(E67,Products!$A$2:$A$7,Products!$D$2:$D$7,"Not Found", 0)</f>
        <v>463</v>
      </c>
      <c r="L67">
        <f>_xlfn.XLOOKUP(E67,Products!$A$2:$A$7,Products!$E$2:$E$7,"Not Found", 0)</f>
        <v>0.23</v>
      </c>
      <c r="M67">
        <f t="shared" si="18"/>
        <v>45838</v>
      </c>
      <c r="N67">
        <f>_xlfn.XLOOKUP(A67, Operations!$A:$A, Operations!$B:$B, 0)</f>
        <v>6</v>
      </c>
      <c r="O67">
        <f>_xlfn.XLOOKUP(A67, Operations!$A:$A, Operations!$C:$C, 0)</f>
        <v>0.04</v>
      </c>
      <c r="P67">
        <f>_xlfn.XLOOKUP(M67, Finance!$A:$A, Finance!$B:$B, 0)</f>
        <v>20079</v>
      </c>
      <c r="Q67">
        <f>_xlfn.XLOOKUP(M67, Finance!$A:$A, Finance!$C:$C, 0)</f>
        <v>99954</v>
      </c>
      <c r="R67">
        <f>_xlfn.XLOOKUP(M67, Finance!$A:$A, Finance!$D:$D, 0)</f>
        <v>15769</v>
      </c>
      <c r="S67">
        <f t="shared" si="19"/>
        <v>8760</v>
      </c>
      <c r="T67">
        <f t="shared" si="20"/>
        <v>6745.2</v>
      </c>
      <c r="U67">
        <f t="shared" si="21"/>
        <v>7</v>
      </c>
      <c r="V67">
        <f t="shared" si="22"/>
        <v>2868.4285714285716</v>
      </c>
      <c r="W67">
        <f t="shared" si="23"/>
        <v>14279.142857142857</v>
      </c>
      <c r="X67">
        <f t="shared" si="24"/>
        <v>2252.7142857142858</v>
      </c>
      <c r="Y67">
        <f t="shared" si="25"/>
        <v>-13418.285714285714</v>
      </c>
      <c r="Z67">
        <f t="shared" si="26"/>
        <v>23446</v>
      </c>
      <c r="AA67" t="str" cm="1">
        <f t="array" ref="AA67">_xlfn.IFS(Z67&gt;50000, "VIP", Z67&gt;=20000, "Regular", TRUE, "Low Value")</f>
        <v>Regular</v>
      </c>
      <c r="AB67" s="8" t="str">
        <f>INDEX(Products!$B:$B, MATCH(E67, Products!$A:$A, 0))</f>
        <v>Electronics</v>
      </c>
    </row>
    <row r="68" spans="1:28" x14ac:dyDescent="0.3">
      <c r="A68" t="s">
        <v>100</v>
      </c>
      <c r="B68" s="4">
        <v>45766.59642361111</v>
      </c>
      <c r="C68" s="8" t="s">
        <v>1</v>
      </c>
      <c r="D68">
        <v>1010</v>
      </c>
      <c r="E68" s="8" t="s">
        <v>3</v>
      </c>
      <c r="F68">
        <v>5</v>
      </c>
      <c r="G68">
        <v>1485</v>
      </c>
      <c r="H68" s="8" t="str">
        <f>_xlfn.XLOOKUP(E68,Products!$A$2:$A$7,Products!$B$2:$B$7,"Not Found",0)</f>
        <v>Office</v>
      </c>
      <c r="I68">
        <f>_xlfn.XLOOKUP(E68,Products!$A$2:$A$7,Products!$D$2:$D$7,"Not Found", 0)</f>
        <v>136</v>
      </c>
      <c r="L68">
        <f>_xlfn.XLOOKUP(E68,Products!$A$2:$A$7,Products!$E$2:$E$7,"Not Found", 0)</f>
        <v>0.1</v>
      </c>
      <c r="M68">
        <f t="shared" si="18"/>
        <v>45777</v>
      </c>
      <c r="N68">
        <f>_xlfn.XLOOKUP(A68, Operations!$A:$A, Operations!$B:$B, 0)</f>
        <v>1</v>
      </c>
      <c r="O68">
        <f>_xlfn.XLOOKUP(A68, Operations!$A:$A, Operations!$C:$C, 0)</f>
        <v>0.05</v>
      </c>
      <c r="P68">
        <f>_xlfn.XLOOKUP(M68, Finance!$A:$A, Finance!$B:$B, 0)</f>
        <v>44423</v>
      </c>
      <c r="Q68">
        <f>_xlfn.XLOOKUP(M68, Finance!$A:$A, Finance!$C:$C, 0)</f>
        <v>90674</v>
      </c>
      <c r="R68">
        <f>_xlfn.XLOOKUP(M68, Finance!$A:$A, Finance!$D:$D, 0)</f>
        <v>21152</v>
      </c>
      <c r="S68">
        <f t="shared" si="19"/>
        <v>7425</v>
      </c>
      <c r="T68">
        <f t="shared" si="20"/>
        <v>6682.5</v>
      </c>
      <c r="U68">
        <f t="shared" si="21"/>
        <v>14</v>
      </c>
      <c r="V68">
        <f t="shared" si="22"/>
        <v>3173.0714285714284</v>
      </c>
      <c r="W68">
        <f t="shared" si="23"/>
        <v>6476.7142857142853</v>
      </c>
      <c r="X68">
        <f t="shared" si="24"/>
        <v>1510.8571428571429</v>
      </c>
      <c r="Y68">
        <f t="shared" si="25"/>
        <v>-4415.6428571428569</v>
      </c>
      <c r="Z68">
        <f t="shared" si="26"/>
        <v>23446</v>
      </c>
      <c r="AA68" t="str" cm="1">
        <f t="array" ref="AA68">_xlfn.IFS(Z68&gt;50000, "VIP", Z68&gt;=20000, "Regular", TRUE, "Low Value")</f>
        <v>Regular</v>
      </c>
      <c r="AB68" s="8" t="str">
        <f>INDEX(Products!$B:$B, MATCH(E68, Products!$A:$A, 0))</f>
        <v>Office</v>
      </c>
    </row>
    <row r="69" spans="1:28" x14ac:dyDescent="0.3">
      <c r="A69" t="s">
        <v>99</v>
      </c>
      <c r="B69" s="4">
        <v>45770.167129629634</v>
      </c>
      <c r="C69" s="8" t="s">
        <v>1</v>
      </c>
      <c r="D69">
        <v>1015</v>
      </c>
      <c r="E69" s="8" t="s">
        <v>21</v>
      </c>
      <c r="F69">
        <v>3</v>
      </c>
      <c r="G69">
        <v>1472</v>
      </c>
      <c r="H69" s="8" t="str">
        <f>_xlfn.XLOOKUP(E69,Products!$A$2:$A$7,Products!$B$2:$B$7,"Not Found",0)</f>
        <v>Electronics</v>
      </c>
      <c r="I69">
        <f>_xlfn.XLOOKUP(E69,Products!$A$2:$A$7,Products!$D$2:$D$7,"Not Found", 0)</f>
        <v>97</v>
      </c>
      <c r="L69">
        <f>_xlfn.XLOOKUP(E69,Products!$A$2:$A$7,Products!$E$2:$E$7,"Not Found", 0)</f>
        <v>0.08</v>
      </c>
      <c r="M69">
        <f t="shared" si="18"/>
        <v>45777</v>
      </c>
      <c r="N69">
        <f>_xlfn.XLOOKUP(A69, Operations!$A:$A, Operations!$B:$B, 0)</f>
        <v>4</v>
      </c>
      <c r="O69">
        <f>_xlfn.XLOOKUP(A69, Operations!$A:$A, Operations!$C:$C, 0)</f>
        <v>0.04</v>
      </c>
      <c r="P69">
        <f>_xlfn.XLOOKUP(M69, Finance!$A:$A, Finance!$B:$B, 0)</f>
        <v>44423</v>
      </c>
      <c r="Q69">
        <f>_xlfn.XLOOKUP(M69, Finance!$A:$A, Finance!$C:$C, 0)</f>
        <v>90674</v>
      </c>
      <c r="R69">
        <f>_xlfn.XLOOKUP(M69, Finance!$A:$A, Finance!$D:$D, 0)</f>
        <v>21152</v>
      </c>
      <c r="S69">
        <f t="shared" si="19"/>
        <v>4416</v>
      </c>
      <c r="T69">
        <f t="shared" si="20"/>
        <v>4062.7200000000003</v>
      </c>
      <c r="U69">
        <f t="shared" si="21"/>
        <v>14</v>
      </c>
      <c r="V69">
        <f t="shared" si="22"/>
        <v>3173.0714285714284</v>
      </c>
      <c r="W69">
        <f t="shared" si="23"/>
        <v>6476.7142857142853</v>
      </c>
      <c r="X69">
        <f t="shared" si="24"/>
        <v>1510.8571428571429</v>
      </c>
      <c r="Y69">
        <f t="shared" si="25"/>
        <v>-7035.6428571428569</v>
      </c>
      <c r="Z69">
        <f t="shared" si="26"/>
        <v>10260</v>
      </c>
      <c r="AA69" t="str" cm="1">
        <f t="array" ref="AA69">_xlfn.IFS(Z69&gt;50000, "VIP", Z69&gt;=20000, "Regular", TRUE, "Low Value")</f>
        <v>Low Value</v>
      </c>
      <c r="AB69" s="8" t="str">
        <f>INDEX(Products!$B:$B, MATCH(E69, Products!$A:$A, 0))</f>
        <v>Electronics</v>
      </c>
    </row>
    <row r="70" spans="1:28" x14ac:dyDescent="0.3">
      <c r="A70" t="s">
        <v>98</v>
      </c>
      <c r="B70" s="4">
        <v>45759.131932870368</v>
      </c>
      <c r="C70" s="8" t="s">
        <v>4</v>
      </c>
      <c r="D70">
        <v>1020</v>
      </c>
      <c r="E70" s="8" t="s">
        <v>14</v>
      </c>
      <c r="F70">
        <v>8</v>
      </c>
      <c r="G70">
        <v>1331</v>
      </c>
      <c r="H70" s="8" t="str">
        <f>_xlfn.XLOOKUP(E70,Products!$A$2:$A$7,Products!$B$2:$B$7,"Not Found",0)</f>
        <v>Electronics</v>
      </c>
      <c r="I70">
        <f>_xlfn.XLOOKUP(E70,Products!$A$2:$A$7,Products!$D$2:$D$7,"Not Found", 0)</f>
        <v>469</v>
      </c>
      <c r="L70">
        <f>_xlfn.XLOOKUP(E70,Products!$A$2:$A$7,Products!$E$2:$E$7,"Not Found", 0)</f>
        <v>0.22</v>
      </c>
      <c r="M70">
        <f t="shared" si="18"/>
        <v>45777</v>
      </c>
      <c r="N70">
        <f>_xlfn.XLOOKUP(A70, Operations!$A:$A, Operations!$B:$B, 0)</f>
        <v>7</v>
      </c>
      <c r="O70">
        <f>_xlfn.XLOOKUP(A70, Operations!$A:$A, Operations!$C:$C, 0)</f>
        <v>0.01</v>
      </c>
      <c r="P70">
        <f>_xlfn.XLOOKUP(M70, Finance!$A:$A, Finance!$B:$B, 0)</f>
        <v>44423</v>
      </c>
      <c r="Q70">
        <f>_xlfn.XLOOKUP(M70, Finance!$A:$A, Finance!$C:$C, 0)</f>
        <v>90674</v>
      </c>
      <c r="R70">
        <f>_xlfn.XLOOKUP(M70, Finance!$A:$A, Finance!$D:$D, 0)</f>
        <v>21152</v>
      </c>
      <c r="S70">
        <f t="shared" si="19"/>
        <v>10648</v>
      </c>
      <c r="T70">
        <f t="shared" si="20"/>
        <v>8305.44</v>
      </c>
      <c r="U70">
        <f t="shared" si="21"/>
        <v>14</v>
      </c>
      <c r="V70">
        <f t="shared" si="22"/>
        <v>3173.0714285714284</v>
      </c>
      <c r="W70">
        <f t="shared" si="23"/>
        <v>6476.7142857142853</v>
      </c>
      <c r="X70">
        <f t="shared" si="24"/>
        <v>1510.8571428571429</v>
      </c>
      <c r="Y70">
        <f t="shared" si="25"/>
        <v>-4264.6428571428569</v>
      </c>
      <c r="Z70">
        <f t="shared" si="26"/>
        <v>21494</v>
      </c>
      <c r="AA70" t="str" cm="1">
        <f t="array" ref="AA70">_xlfn.IFS(Z70&gt;50000, "VIP", Z70&gt;=20000, "Regular", TRUE, "Low Value")</f>
        <v>Regular</v>
      </c>
      <c r="AB70" s="8" t="str">
        <f>INDEX(Products!$B:$B, MATCH(E70, Products!$A:$A, 0))</f>
        <v>Electronics</v>
      </c>
    </row>
    <row r="71" spans="1:28" x14ac:dyDescent="0.3">
      <c r="A71" t="s">
        <v>97</v>
      </c>
      <c r="B71" s="4">
        <v>45760.760393518518</v>
      </c>
      <c r="C71" s="8" t="s">
        <v>4</v>
      </c>
      <c r="D71">
        <v>1001</v>
      </c>
      <c r="E71" s="8" t="s">
        <v>21</v>
      </c>
      <c r="F71">
        <v>2</v>
      </c>
      <c r="G71">
        <v>222</v>
      </c>
      <c r="H71" s="8" t="str">
        <f>_xlfn.XLOOKUP(E71,Products!$A$2:$A$7,Products!$B$2:$B$7,"Not Found",0)</f>
        <v>Electronics</v>
      </c>
      <c r="I71">
        <f>_xlfn.XLOOKUP(E71,Products!$A$2:$A$7,Products!$D$2:$D$7,"Not Found", 0)</f>
        <v>97</v>
      </c>
      <c r="L71">
        <f>_xlfn.XLOOKUP(E71,Products!$A$2:$A$7,Products!$E$2:$E$7,"Not Found", 0)</f>
        <v>0.08</v>
      </c>
      <c r="M71">
        <f t="shared" si="18"/>
        <v>45777</v>
      </c>
      <c r="N71">
        <f>_xlfn.XLOOKUP(A71, Operations!$A:$A, Operations!$B:$B, 0)</f>
        <v>4</v>
      </c>
      <c r="O71">
        <f>_xlfn.XLOOKUP(A71, Operations!$A:$A, Operations!$C:$C, 0)</f>
        <v>0.03</v>
      </c>
      <c r="P71">
        <f>_xlfn.XLOOKUP(M71, Finance!$A:$A, Finance!$B:$B, 0)</f>
        <v>44423</v>
      </c>
      <c r="Q71">
        <f>_xlfn.XLOOKUP(M71, Finance!$A:$A, Finance!$C:$C, 0)</f>
        <v>90674</v>
      </c>
      <c r="R71">
        <f>_xlfn.XLOOKUP(M71, Finance!$A:$A, Finance!$D:$D, 0)</f>
        <v>21152</v>
      </c>
      <c r="S71">
        <f t="shared" si="19"/>
        <v>444</v>
      </c>
      <c r="T71">
        <f t="shared" si="20"/>
        <v>408.48</v>
      </c>
      <c r="U71">
        <f t="shared" si="21"/>
        <v>14</v>
      </c>
      <c r="V71">
        <f t="shared" si="22"/>
        <v>3173.0714285714284</v>
      </c>
      <c r="W71">
        <f t="shared" si="23"/>
        <v>6476.7142857142853</v>
      </c>
      <c r="X71">
        <f t="shared" si="24"/>
        <v>1510.8571428571429</v>
      </c>
      <c r="Y71">
        <f t="shared" si="25"/>
        <v>-10910.642857142857</v>
      </c>
      <c r="Z71">
        <f t="shared" si="26"/>
        <v>23279</v>
      </c>
      <c r="AA71" t="str" cm="1">
        <f t="array" ref="AA71">_xlfn.IFS(Z71&gt;50000, "VIP", Z71&gt;=20000, "Regular", TRUE, "Low Value")</f>
        <v>Regular</v>
      </c>
      <c r="AB71" s="8" t="str">
        <f>INDEX(Products!$B:$B, MATCH(E71, Products!$A:$A, 0))</f>
        <v>Electronics</v>
      </c>
    </row>
    <row r="72" spans="1:28" x14ac:dyDescent="0.3">
      <c r="A72" t="s">
        <v>96</v>
      </c>
      <c r="B72" s="4">
        <v>45754.452418981477</v>
      </c>
      <c r="C72" s="8" t="s">
        <v>11</v>
      </c>
      <c r="D72">
        <v>1012</v>
      </c>
      <c r="E72" s="8" t="s">
        <v>8</v>
      </c>
      <c r="F72">
        <v>3</v>
      </c>
      <c r="G72">
        <v>1781</v>
      </c>
      <c r="H72" s="8" t="str">
        <f>_xlfn.XLOOKUP(E72,Products!$A$2:$A$7,Products!$B$2:$B$7,"Not Found",0)</f>
        <v>Accessories</v>
      </c>
      <c r="I72">
        <f>_xlfn.XLOOKUP(E72,Products!$A$2:$A$7,Products!$D$2:$D$7,"Not Found", 0)</f>
        <v>323</v>
      </c>
      <c r="L72">
        <f>_xlfn.XLOOKUP(E72,Products!$A$2:$A$7,Products!$E$2:$E$7,"Not Found", 0)</f>
        <v>0.1</v>
      </c>
      <c r="M72">
        <f t="shared" si="18"/>
        <v>45777</v>
      </c>
      <c r="N72">
        <f>_xlfn.XLOOKUP(A72, Operations!$A:$A, Operations!$B:$B, 0)</f>
        <v>5</v>
      </c>
      <c r="O72">
        <f>_xlfn.XLOOKUP(A72, Operations!$A:$A, Operations!$C:$C, 0)</f>
        <v>0.09</v>
      </c>
      <c r="P72">
        <f>_xlfn.XLOOKUP(M72, Finance!$A:$A, Finance!$B:$B, 0)</f>
        <v>44423</v>
      </c>
      <c r="Q72">
        <f>_xlfn.XLOOKUP(M72, Finance!$A:$A, Finance!$C:$C, 0)</f>
        <v>90674</v>
      </c>
      <c r="R72">
        <f>_xlfn.XLOOKUP(M72, Finance!$A:$A, Finance!$D:$D, 0)</f>
        <v>21152</v>
      </c>
      <c r="S72">
        <f t="shared" si="19"/>
        <v>5343</v>
      </c>
      <c r="T72">
        <f t="shared" si="20"/>
        <v>4808.7</v>
      </c>
      <c r="U72">
        <f t="shared" si="21"/>
        <v>14</v>
      </c>
      <c r="V72">
        <f t="shared" si="22"/>
        <v>3173.0714285714284</v>
      </c>
      <c r="W72">
        <f t="shared" si="23"/>
        <v>6476.7142857142853</v>
      </c>
      <c r="X72">
        <f t="shared" si="24"/>
        <v>1510.8571428571429</v>
      </c>
      <c r="Y72">
        <f t="shared" si="25"/>
        <v>-6786.6428571428569</v>
      </c>
      <c r="Z72">
        <f t="shared" si="26"/>
        <v>8379</v>
      </c>
      <c r="AA72" t="str" cm="1">
        <f t="array" ref="AA72">_xlfn.IFS(Z72&gt;50000, "VIP", Z72&gt;=20000, "Regular", TRUE, "Low Value")</f>
        <v>Low Value</v>
      </c>
      <c r="AB72" s="8" t="str">
        <f>INDEX(Products!$B:$B, MATCH(E72, Products!$A:$A, 0))</f>
        <v>Accessories</v>
      </c>
    </row>
    <row r="73" spans="1:28" x14ac:dyDescent="0.3">
      <c r="A73" t="s">
        <v>95</v>
      </c>
      <c r="B73" s="4">
        <v>45823.740358796298</v>
      </c>
      <c r="C73" s="8" t="s">
        <v>4</v>
      </c>
      <c r="D73">
        <v>1001</v>
      </c>
      <c r="E73" s="8" t="s">
        <v>8</v>
      </c>
      <c r="F73">
        <v>2</v>
      </c>
      <c r="G73">
        <v>1545</v>
      </c>
      <c r="H73" s="8" t="str">
        <f>_xlfn.XLOOKUP(E73,Products!$A$2:$A$7,Products!$B$2:$B$7,"Not Found",0)</f>
        <v>Accessories</v>
      </c>
      <c r="I73">
        <f>_xlfn.XLOOKUP(E73,Products!$A$2:$A$7,Products!$D$2:$D$7,"Not Found", 0)</f>
        <v>323</v>
      </c>
      <c r="L73">
        <f>_xlfn.XLOOKUP(E73,Products!$A$2:$A$7,Products!$E$2:$E$7,"Not Found", 0)</f>
        <v>0.1</v>
      </c>
      <c r="M73">
        <f t="shared" si="18"/>
        <v>45838</v>
      </c>
      <c r="N73">
        <f>_xlfn.XLOOKUP(A73, Operations!$A:$A, Operations!$B:$B, 0)</f>
        <v>8</v>
      </c>
      <c r="O73">
        <f>_xlfn.XLOOKUP(A73, Operations!$A:$A, Operations!$C:$C, 0)</f>
        <v>0</v>
      </c>
      <c r="P73">
        <f>_xlfn.XLOOKUP(M73, Finance!$A:$A, Finance!$B:$B, 0)</f>
        <v>20079</v>
      </c>
      <c r="Q73">
        <f>_xlfn.XLOOKUP(M73, Finance!$A:$A, Finance!$C:$C, 0)</f>
        <v>99954</v>
      </c>
      <c r="R73">
        <f>_xlfn.XLOOKUP(M73, Finance!$A:$A, Finance!$D:$D, 0)</f>
        <v>15769</v>
      </c>
      <c r="S73">
        <f t="shared" si="19"/>
        <v>3090</v>
      </c>
      <c r="T73">
        <f t="shared" si="20"/>
        <v>2781</v>
      </c>
      <c r="U73">
        <f t="shared" si="21"/>
        <v>7</v>
      </c>
      <c r="V73">
        <f t="shared" si="22"/>
        <v>2868.4285714285716</v>
      </c>
      <c r="W73">
        <f t="shared" si="23"/>
        <v>14279.142857142857</v>
      </c>
      <c r="X73">
        <f t="shared" si="24"/>
        <v>2252.7142857142858</v>
      </c>
      <c r="Y73">
        <f t="shared" si="25"/>
        <v>-16956.285714285714</v>
      </c>
      <c r="Z73">
        <f t="shared" si="26"/>
        <v>23279</v>
      </c>
      <c r="AA73" t="str" cm="1">
        <f t="array" ref="AA73">_xlfn.IFS(Z73&gt;50000, "VIP", Z73&gt;=20000, "Regular", TRUE, "Low Value")</f>
        <v>Regular</v>
      </c>
      <c r="AB73" s="8" t="str">
        <f>INDEX(Products!$B:$B, MATCH(E73, Products!$A:$A, 0))</f>
        <v>Accessories</v>
      </c>
    </row>
    <row r="74" spans="1:28" x14ac:dyDescent="0.3">
      <c r="A74" t="s">
        <v>94</v>
      </c>
      <c r="B74" s="4">
        <v>45827.390497685177</v>
      </c>
      <c r="C74" s="8" t="s">
        <v>1</v>
      </c>
      <c r="D74">
        <v>1019</v>
      </c>
      <c r="E74" s="8" t="s">
        <v>14</v>
      </c>
      <c r="F74">
        <v>1</v>
      </c>
      <c r="G74">
        <v>1437</v>
      </c>
      <c r="H74" s="8" t="str">
        <f>_xlfn.XLOOKUP(E74,Products!$A$2:$A$7,Products!$B$2:$B$7,"Not Found",0)</f>
        <v>Electronics</v>
      </c>
      <c r="I74">
        <f>_xlfn.XLOOKUP(E74,Products!$A$2:$A$7,Products!$D$2:$D$7,"Not Found", 0)</f>
        <v>469</v>
      </c>
      <c r="L74">
        <f>_xlfn.XLOOKUP(E74,Products!$A$2:$A$7,Products!$E$2:$E$7,"Not Found", 0)</f>
        <v>0.22</v>
      </c>
      <c r="M74">
        <f t="shared" si="18"/>
        <v>45838</v>
      </c>
      <c r="N74">
        <f>_xlfn.XLOOKUP(A74, Operations!$A:$A, Operations!$B:$B, 0)</f>
        <v>7</v>
      </c>
      <c r="O74">
        <f>_xlfn.XLOOKUP(A74, Operations!$A:$A, Operations!$C:$C, 0)</f>
        <v>0</v>
      </c>
      <c r="P74">
        <f>_xlfn.XLOOKUP(M74, Finance!$A:$A, Finance!$B:$B, 0)</f>
        <v>20079</v>
      </c>
      <c r="Q74">
        <f>_xlfn.XLOOKUP(M74, Finance!$A:$A, Finance!$C:$C, 0)</f>
        <v>99954</v>
      </c>
      <c r="R74">
        <f>_xlfn.XLOOKUP(M74, Finance!$A:$A, Finance!$D:$D, 0)</f>
        <v>15769</v>
      </c>
      <c r="S74">
        <f t="shared" si="19"/>
        <v>1437</v>
      </c>
      <c r="T74">
        <f t="shared" si="20"/>
        <v>1120.8600000000001</v>
      </c>
      <c r="U74">
        <f t="shared" si="21"/>
        <v>7</v>
      </c>
      <c r="V74">
        <f t="shared" si="22"/>
        <v>2868.4285714285716</v>
      </c>
      <c r="W74">
        <f t="shared" si="23"/>
        <v>14279.142857142857</v>
      </c>
      <c r="X74">
        <f t="shared" si="24"/>
        <v>2252.7142857142858</v>
      </c>
      <c r="Y74">
        <f t="shared" si="25"/>
        <v>-18432.285714285714</v>
      </c>
      <c r="Z74">
        <f t="shared" si="26"/>
        <v>20633</v>
      </c>
      <c r="AA74" t="str" cm="1">
        <f t="array" ref="AA74">_xlfn.IFS(Z74&gt;50000, "VIP", Z74&gt;=20000, "Regular", TRUE, "Low Value")</f>
        <v>Regular</v>
      </c>
      <c r="AB74" s="8" t="str">
        <f>INDEX(Products!$B:$B, MATCH(E74, Products!$A:$A, 0))</f>
        <v>Electronics</v>
      </c>
    </row>
    <row r="75" spans="1:28" x14ac:dyDescent="0.3">
      <c r="A75" t="s">
        <v>93</v>
      </c>
      <c r="B75" s="4">
        <v>45754.479502314818</v>
      </c>
      <c r="C75" s="8" t="s">
        <v>9</v>
      </c>
      <c r="D75">
        <v>1009</v>
      </c>
      <c r="E75" s="8" t="s">
        <v>14</v>
      </c>
      <c r="F75">
        <v>8</v>
      </c>
      <c r="G75">
        <v>1539</v>
      </c>
      <c r="H75" s="8" t="str">
        <f>_xlfn.XLOOKUP(E75,Products!$A$2:$A$7,Products!$B$2:$B$7,"Not Found",0)</f>
        <v>Electronics</v>
      </c>
      <c r="I75">
        <f>_xlfn.XLOOKUP(E75,Products!$A$2:$A$7,Products!$D$2:$D$7,"Not Found", 0)</f>
        <v>469</v>
      </c>
      <c r="L75">
        <f>_xlfn.XLOOKUP(E75,Products!$A$2:$A$7,Products!$E$2:$E$7,"Not Found", 0)</f>
        <v>0.22</v>
      </c>
      <c r="M75">
        <f t="shared" si="18"/>
        <v>45777</v>
      </c>
      <c r="N75">
        <f>_xlfn.XLOOKUP(A75, Operations!$A:$A, Operations!$B:$B, 0)</f>
        <v>4</v>
      </c>
      <c r="O75">
        <f>_xlfn.XLOOKUP(A75, Operations!$A:$A, Operations!$C:$C, 0)</f>
        <v>0.03</v>
      </c>
      <c r="P75">
        <f>_xlfn.XLOOKUP(M75, Finance!$A:$A, Finance!$B:$B, 0)</f>
        <v>44423</v>
      </c>
      <c r="Q75">
        <f>_xlfn.XLOOKUP(M75, Finance!$A:$A, Finance!$C:$C, 0)</f>
        <v>90674</v>
      </c>
      <c r="R75">
        <f>_xlfn.XLOOKUP(M75, Finance!$A:$A, Finance!$D:$D, 0)</f>
        <v>21152</v>
      </c>
      <c r="S75">
        <f t="shared" si="19"/>
        <v>12312</v>
      </c>
      <c r="T75">
        <f t="shared" si="20"/>
        <v>9603.36</v>
      </c>
      <c r="U75">
        <f t="shared" si="21"/>
        <v>14</v>
      </c>
      <c r="V75">
        <f t="shared" si="22"/>
        <v>3173.0714285714284</v>
      </c>
      <c r="W75">
        <f t="shared" si="23"/>
        <v>6476.7142857142853</v>
      </c>
      <c r="X75">
        <f t="shared" si="24"/>
        <v>1510.8571428571429</v>
      </c>
      <c r="Y75">
        <f t="shared" si="25"/>
        <v>-2600.6428571428569</v>
      </c>
      <c r="Z75">
        <f t="shared" si="26"/>
        <v>26022</v>
      </c>
      <c r="AA75" t="str" cm="1">
        <f t="array" ref="AA75">_xlfn.IFS(Z75&gt;50000, "VIP", Z75&gt;=20000, "Regular", TRUE, "Low Value")</f>
        <v>Regular</v>
      </c>
      <c r="AB75" s="8" t="str">
        <f>INDEX(Products!$B:$B, MATCH(E75, Products!$A:$A, 0))</f>
        <v>Electronics</v>
      </c>
    </row>
    <row r="76" spans="1:28" x14ac:dyDescent="0.3">
      <c r="A76" t="s">
        <v>92</v>
      </c>
      <c r="B76" s="4">
        <v>45788.261284722219</v>
      </c>
      <c r="C76" s="8" t="s">
        <v>9</v>
      </c>
      <c r="D76">
        <v>1013</v>
      </c>
      <c r="E76" s="8" t="s">
        <v>3</v>
      </c>
      <c r="F76">
        <v>2</v>
      </c>
      <c r="G76">
        <v>1414</v>
      </c>
      <c r="H76" s="8" t="str">
        <f>_xlfn.XLOOKUP(E76,Products!$A$2:$A$7,Products!$B$2:$B$7,"Not Found",0)</f>
        <v>Office</v>
      </c>
      <c r="I76">
        <f>_xlfn.XLOOKUP(E76,Products!$A$2:$A$7,Products!$D$2:$D$7,"Not Found", 0)</f>
        <v>136</v>
      </c>
      <c r="L76">
        <f>_xlfn.XLOOKUP(E76,Products!$A$2:$A$7,Products!$E$2:$E$7,"Not Found", 0)</f>
        <v>0.1</v>
      </c>
      <c r="M76">
        <f t="shared" si="18"/>
        <v>45808</v>
      </c>
      <c r="N76">
        <f>_xlfn.XLOOKUP(A76, Operations!$A:$A, Operations!$B:$B, 0)</f>
        <v>1</v>
      </c>
      <c r="O76">
        <f>_xlfn.XLOOKUP(A76, Operations!$A:$A, Operations!$C:$C, 0)</f>
        <v>0.06</v>
      </c>
      <c r="P76">
        <f>_xlfn.XLOOKUP(M76, Finance!$A:$A, Finance!$B:$B, 0)</f>
        <v>32119</v>
      </c>
      <c r="Q76">
        <f>_xlfn.XLOOKUP(M76, Finance!$A:$A, Finance!$C:$C, 0)</f>
        <v>55646</v>
      </c>
      <c r="R76">
        <f>_xlfn.XLOOKUP(M76, Finance!$A:$A, Finance!$D:$D, 0)</f>
        <v>19723</v>
      </c>
      <c r="S76">
        <f t="shared" si="19"/>
        <v>2828</v>
      </c>
      <c r="T76">
        <f t="shared" si="20"/>
        <v>2545.2000000000003</v>
      </c>
      <c r="U76">
        <f t="shared" si="21"/>
        <v>9</v>
      </c>
      <c r="V76">
        <f t="shared" si="22"/>
        <v>3568.7777777777778</v>
      </c>
      <c r="W76">
        <f t="shared" si="23"/>
        <v>6182.8888888888887</v>
      </c>
      <c r="X76">
        <f t="shared" si="24"/>
        <v>2191.4444444444443</v>
      </c>
      <c r="Y76">
        <f t="shared" si="25"/>
        <v>-9387.1111111111095</v>
      </c>
      <c r="Z76">
        <f t="shared" si="26"/>
        <v>17364</v>
      </c>
      <c r="AA76" t="str" cm="1">
        <f t="array" ref="AA76">_xlfn.IFS(Z76&gt;50000, "VIP", Z76&gt;=20000, "Regular", TRUE, "Low Value")</f>
        <v>Low Value</v>
      </c>
      <c r="AB76" s="8" t="str">
        <f>INDEX(Products!$B:$B, MATCH(E76, Products!$A:$A, 0))</f>
        <v>Office</v>
      </c>
    </row>
    <row r="77" spans="1:28" x14ac:dyDescent="0.3">
      <c r="A77" t="s">
        <v>91</v>
      </c>
      <c r="B77" s="4">
        <v>45789.088136574072</v>
      </c>
      <c r="C77" s="8" t="s">
        <v>1</v>
      </c>
      <c r="D77">
        <v>1011</v>
      </c>
      <c r="E77" s="8" t="s">
        <v>8</v>
      </c>
      <c r="F77">
        <v>9</v>
      </c>
      <c r="G77">
        <v>1076</v>
      </c>
      <c r="H77" s="8" t="str">
        <f>_xlfn.XLOOKUP(E77,Products!$A$2:$A$7,Products!$B$2:$B$7,"Not Found",0)</f>
        <v>Accessories</v>
      </c>
      <c r="I77">
        <f>_xlfn.XLOOKUP(E77,Products!$A$2:$A$7,Products!$D$2:$D$7,"Not Found", 0)</f>
        <v>323</v>
      </c>
      <c r="L77">
        <f>_xlfn.XLOOKUP(E77,Products!$A$2:$A$7,Products!$E$2:$E$7,"Not Found", 0)</f>
        <v>0.1</v>
      </c>
      <c r="M77">
        <f t="shared" si="18"/>
        <v>45808</v>
      </c>
      <c r="N77">
        <f>_xlfn.XLOOKUP(A77, Operations!$A:$A, Operations!$B:$B, 0)</f>
        <v>5</v>
      </c>
      <c r="O77">
        <f>_xlfn.XLOOKUP(A77, Operations!$A:$A, Operations!$C:$C, 0)</f>
        <v>0.1</v>
      </c>
      <c r="P77">
        <f>_xlfn.XLOOKUP(M77, Finance!$A:$A, Finance!$B:$B, 0)</f>
        <v>32119</v>
      </c>
      <c r="Q77">
        <f>_xlfn.XLOOKUP(M77, Finance!$A:$A, Finance!$C:$C, 0)</f>
        <v>55646</v>
      </c>
      <c r="R77">
        <f>_xlfn.XLOOKUP(M77, Finance!$A:$A, Finance!$D:$D, 0)</f>
        <v>19723</v>
      </c>
      <c r="S77">
        <f t="shared" si="19"/>
        <v>9684</v>
      </c>
      <c r="T77">
        <f t="shared" si="20"/>
        <v>8715.6</v>
      </c>
      <c r="U77">
        <f t="shared" si="21"/>
        <v>9</v>
      </c>
      <c r="V77">
        <f t="shared" si="22"/>
        <v>3568.7777777777778</v>
      </c>
      <c r="W77">
        <f t="shared" si="23"/>
        <v>6182.8888888888887</v>
      </c>
      <c r="X77">
        <f t="shared" si="24"/>
        <v>2191.4444444444443</v>
      </c>
      <c r="Y77">
        <f t="shared" si="25"/>
        <v>-5166.1111111111113</v>
      </c>
      <c r="Z77">
        <f t="shared" si="26"/>
        <v>17906</v>
      </c>
      <c r="AA77" t="str" cm="1">
        <f t="array" ref="AA77">_xlfn.IFS(Z77&gt;50000, "VIP", Z77&gt;=20000, "Regular", TRUE, "Low Value")</f>
        <v>Low Value</v>
      </c>
      <c r="AB77" s="8" t="str">
        <f>INDEX(Products!$B:$B, MATCH(E77, Products!$A:$A, 0))</f>
        <v>Accessories</v>
      </c>
    </row>
    <row r="78" spans="1:28" x14ac:dyDescent="0.3">
      <c r="A78" t="s">
        <v>90</v>
      </c>
      <c r="B78" s="4">
        <v>45787.813692129632</v>
      </c>
      <c r="C78" s="8" t="s">
        <v>9</v>
      </c>
      <c r="D78">
        <v>1009</v>
      </c>
      <c r="E78" s="8" t="s">
        <v>3</v>
      </c>
      <c r="F78">
        <v>1</v>
      </c>
      <c r="G78">
        <v>398</v>
      </c>
      <c r="H78" s="8" t="str">
        <f>_xlfn.XLOOKUP(E78,Products!$A$2:$A$7,Products!$B$2:$B$7,"Not Found",0)</f>
        <v>Office</v>
      </c>
      <c r="I78">
        <f>_xlfn.XLOOKUP(E78,Products!$A$2:$A$7,Products!$D$2:$D$7,"Not Found", 0)</f>
        <v>136</v>
      </c>
      <c r="L78">
        <f>_xlfn.XLOOKUP(E78,Products!$A$2:$A$7,Products!$E$2:$E$7,"Not Found", 0)</f>
        <v>0.1</v>
      </c>
      <c r="M78">
        <f t="shared" si="18"/>
        <v>45808</v>
      </c>
      <c r="N78">
        <f>_xlfn.XLOOKUP(A78, Operations!$A:$A, Operations!$B:$B, 0)</f>
        <v>5</v>
      </c>
      <c r="O78">
        <f>_xlfn.XLOOKUP(A78, Operations!$A:$A, Operations!$C:$C, 0)</f>
        <v>0.1</v>
      </c>
      <c r="P78">
        <f>_xlfn.XLOOKUP(M78, Finance!$A:$A, Finance!$B:$B, 0)</f>
        <v>32119</v>
      </c>
      <c r="Q78">
        <f>_xlfn.XLOOKUP(M78, Finance!$A:$A, Finance!$C:$C, 0)</f>
        <v>55646</v>
      </c>
      <c r="R78">
        <f>_xlfn.XLOOKUP(M78, Finance!$A:$A, Finance!$D:$D, 0)</f>
        <v>19723</v>
      </c>
      <c r="S78">
        <f t="shared" si="19"/>
        <v>398</v>
      </c>
      <c r="T78">
        <f t="shared" si="20"/>
        <v>358.2</v>
      </c>
      <c r="U78">
        <f t="shared" si="21"/>
        <v>9</v>
      </c>
      <c r="V78">
        <f t="shared" si="22"/>
        <v>3568.7777777777778</v>
      </c>
      <c r="W78">
        <f t="shared" si="23"/>
        <v>6182.8888888888887</v>
      </c>
      <c r="X78">
        <f t="shared" si="24"/>
        <v>2191.4444444444443</v>
      </c>
      <c r="Y78">
        <f t="shared" si="25"/>
        <v>-11681.111111111109</v>
      </c>
      <c r="Z78">
        <f t="shared" si="26"/>
        <v>26022</v>
      </c>
      <c r="AA78" t="str" cm="1">
        <f t="array" ref="AA78">_xlfn.IFS(Z78&gt;50000, "VIP", Z78&gt;=20000, "Regular", TRUE, "Low Value")</f>
        <v>Regular</v>
      </c>
      <c r="AB78" s="8" t="str">
        <f>INDEX(Products!$B:$B, MATCH(E78, Products!$A:$A, 0))</f>
        <v>Office</v>
      </c>
    </row>
    <row r="79" spans="1:28" x14ac:dyDescent="0.3">
      <c r="A79" t="s">
        <v>89</v>
      </c>
      <c r="B79" s="4">
        <v>45807.765486111108</v>
      </c>
      <c r="C79" s="8" t="s">
        <v>1</v>
      </c>
      <c r="D79">
        <v>1003</v>
      </c>
      <c r="E79" s="8" t="s">
        <v>8</v>
      </c>
      <c r="F79">
        <v>8</v>
      </c>
      <c r="G79">
        <v>1684</v>
      </c>
      <c r="H79" s="8" t="str">
        <f>_xlfn.XLOOKUP(E79,Products!$A$2:$A$7,Products!$B$2:$B$7,"Not Found",0)</f>
        <v>Accessories</v>
      </c>
      <c r="I79">
        <f>_xlfn.XLOOKUP(E79,Products!$A$2:$A$7,Products!$D$2:$D$7,"Not Found", 0)</f>
        <v>323</v>
      </c>
      <c r="L79">
        <f>_xlfn.XLOOKUP(E79,Products!$A$2:$A$7,Products!$E$2:$E$7,"Not Found", 0)</f>
        <v>0.1</v>
      </c>
      <c r="M79">
        <f t="shared" si="18"/>
        <v>45808</v>
      </c>
      <c r="N79">
        <f>_xlfn.XLOOKUP(A79, Operations!$A:$A, Operations!$B:$B, 0)</f>
        <v>6</v>
      </c>
      <c r="O79">
        <f>_xlfn.XLOOKUP(A79, Operations!$A:$A, Operations!$C:$C, 0)</f>
        <v>0.1</v>
      </c>
      <c r="P79">
        <f>_xlfn.XLOOKUP(M79, Finance!$A:$A, Finance!$B:$B, 0)</f>
        <v>32119</v>
      </c>
      <c r="Q79">
        <f>_xlfn.XLOOKUP(M79, Finance!$A:$A, Finance!$C:$C, 0)</f>
        <v>55646</v>
      </c>
      <c r="R79">
        <f>_xlfn.XLOOKUP(M79, Finance!$A:$A, Finance!$D:$D, 0)</f>
        <v>19723</v>
      </c>
      <c r="S79">
        <f t="shared" si="19"/>
        <v>13472</v>
      </c>
      <c r="T79">
        <f t="shared" si="20"/>
        <v>12124.800000000001</v>
      </c>
      <c r="U79">
        <f t="shared" si="21"/>
        <v>9</v>
      </c>
      <c r="V79">
        <f t="shared" si="22"/>
        <v>3568.7777777777778</v>
      </c>
      <c r="W79">
        <f t="shared" si="23"/>
        <v>6182.8888888888887</v>
      </c>
      <c r="X79">
        <f t="shared" si="24"/>
        <v>2191.4444444444443</v>
      </c>
      <c r="Y79">
        <f t="shared" si="25"/>
        <v>-1055.1111111111104</v>
      </c>
      <c r="Z79">
        <f t="shared" si="26"/>
        <v>31251</v>
      </c>
      <c r="AA79" t="str" cm="1">
        <f t="array" ref="AA79">_xlfn.IFS(Z79&gt;50000, "VIP", Z79&gt;=20000, "Regular", TRUE, "Low Value")</f>
        <v>Regular</v>
      </c>
      <c r="AB79" s="8" t="str">
        <f>INDEX(Products!$B:$B, MATCH(E79, Products!$A:$A, 0))</f>
        <v>Accessories</v>
      </c>
    </row>
    <row r="80" spans="1:28" x14ac:dyDescent="0.3">
      <c r="A80" t="s">
        <v>88</v>
      </c>
      <c r="B80" s="4">
        <v>45749.992546296293</v>
      </c>
      <c r="C80" s="8" t="s">
        <v>9</v>
      </c>
      <c r="D80">
        <v>1010</v>
      </c>
      <c r="E80" s="8" t="s">
        <v>3</v>
      </c>
      <c r="F80">
        <v>1</v>
      </c>
      <c r="G80">
        <v>648</v>
      </c>
      <c r="H80" s="8" t="str">
        <f>_xlfn.XLOOKUP(E80,Products!$A$2:$A$7,Products!$B$2:$B$7,"Not Found",0)</f>
        <v>Office</v>
      </c>
      <c r="I80">
        <f>_xlfn.XLOOKUP(E80,Products!$A$2:$A$7,Products!$D$2:$D$7,"Not Found", 0)</f>
        <v>136</v>
      </c>
      <c r="L80">
        <f>_xlfn.XLOOKUP(E80,Products!$A$2:$A$7,Products!$E$2:$E$7,"Not Found", 0)</f>
        <v>0.1</v>
      </c>
      <c r="M80">
        <f t="shared" si="18"/>
        <v>45777</v>
      </c>
      <c r="N80">
        <f>_xlfn.XLOOKUP(A80, Operations!$A:$A, Operations!$B:$B, 0)</f>
        <v>8</v>
      </c>
      <c r="O80">
        <f>_xlfn.XLOOKUP(A80, Operations!$A:$A, Operations!$C:$C, 0)</f>
        <v>0.01</v>
      </c>
      <c r="P80">
        <f>_xlfn.XLOOKUP(M80, Finance!$A:$A, Finance!$B:$B, 0)</f>
        <v>44423</v>
      </c>
      <c r="Q80">
        <f>_xlfn.XLOOKUP(M80, Finance!$A:$A, Finance!$C:$C, 0)</f>
        <v>90674</v>
      </c>
      <c r="R80">
        <f>_xlfn.XLOOKUP(M80, Finance!$A:$A, Finance!$D:$D, 0)</f>
        <v>21152</v>
      </c>
      <c r="S80">
        <f t="shared" si="19"/>
        <v>648</v>
      </c>
      <c r="T80">
        <f t="shared" si="20"/>
        <v>583.20000000000005</v>
      </c>
      <c r="U80">
        <f t="shared" si="21"/>
        <v>14</v>
      </c>
      <c r="V80">
        <f t="shared" si="22"/>
        <v>3173.0714285714284</v>
      </c>
      <c r="W80">
        <f t="shared" si="23"/>
        <v>6476.7142857142853</v>
      </c>
      <c r="X80">
        <f t="shared" si="24"/>
        <v>1510.8571428571429</v>
      </c>
      <c r="Y80">
        <f t="shared" si="25"/>
        <v>-10648.642857142857</v>
      </c>
      <c r="Z80">
        <f t="shared" si="26"/>
        <v>23446</v>
      </c>
      <c r="AA80" t="str" cm="1">
        <f t="array" ref="AA80">_xlfn.IFS(Z80&gt;50000, "VIP", Z80&gt;=20000, "Regular", TRUE, "Low Value")</f>
        <v>Regular</v>
      </c>
      <c r="AB80" s="8" t="str">
        <f>INDEX(Products!$B:$B, MATCH(E80, Products!$A:$A, 0))</f>
        <v>Office</v>
      </c>
    </row>
    <row r="81" spans="1:28" x14ac:dyDescent="0.3">
      <c r="A81" t="s">
        <v>87</v>
      </c>
      <c r="B81" s="4">
        <v>45816.867118055547</v>
      </c>
      <c r="C81" s="8" t="s">
        <v>1</v>
      </c>
      <c r="D81">
        <v>1006</v>
      </c>
      <c r="E81" s="8" t="s">
        <v>14</v>
      </c>
      <c r="F81">
        <v>6</v>
      </c>
      <c r="G81">
        <v>634</v>
      </c>
      <c r="H81" s="8" t="str">
        <f>_xlfn.XLOOKUP(E81,Products!$A$2:$A$7,Products!$B$2:$B$7,"Not Found",0)</f>
        <v>Electronics</v>
      </c>
      <c r="I81">
        <f>_xlfn.XLOOKUP(E81,Products!$A$2:$A$7,Products!$D$2:$D$7,"Not Found", 0)</f>
        <v>469</v>
      </c>
      <c r="L81">
        <f>_xlfn.XLOOKUP(E81,Products!$A$2:$A$7,Products!$E$2:$E$7,"Not Found", 0)</f>
        <v>0.22</v>
      </c>
      <c r="M81">
        <f t="shared" si="18"/>
        <v>45838</v>
      </c>
      <c r="N81">
        <f>_xlfn.XLOOKUP(A81, Operations!$A:$A, Operations!$B:$B, 0)</f>
        <v>7</v>
      </c>
      <c r="O81">
        <f>_xlfn.XLOOKUP(A81, Operations!$A:$A, Operations!$C:$C, 0)</f>
        <v>7.0000000000000007E-2</v>
      </c>
      <c r="P81">
        <f>_xlfn.XLOOKUP(M81, Finance!$A:$A, Finance!$B:$B, 0)</f>
        <v>20079</v>
      </c>
      <c r="Q81">
        <f>_xlfn.XLOOKUP(M81, Finance!$A:$A, Finance!$C:$C, 0)</f>
        <v>99954</v>
      </c>
      <c r="R81">
        <f>_xlfn.XLOOKUP(M81, Finance!$A:$A, Finance!$D:$D, 0)</f>
        <v>15769</v>
      </c>
      <c r="S81">
        <f t="shared" si="19"/>
        <v>3804</v>
      </c>
      <c r="T81">
        <f t="shared" si="20"/>
        <v>2967.12</v>
      </c>
      <c r="U81">
        <f t="shared" si="21"/>
        <v>7</v>
      </c>
      <c r="V81">
        <f t="shared" si="22"/>
        <v>2868.4285714285716</v>
      </c>
      <c r="W81">
        <f t="shared" si="23"/>
        <v>14279.142857142857</v>
      </c>
      <c r="X81">
        <f t="shared" si="24"/>
        <v>2252.7142857142858</v>
      </c>
      <c r="Y81">
        <f t="shared" si="25"/>
        <v>-18410.285714285714</v>
      </c>
      <c r="Z81">
        <f t="shared" si="26"/>
        <v>34295</v>
      </c>
      <c r="AA81" t="str" cm="1">
        <f t="array" ref="AA81">_xlfn.IFS(Z81&gt;50000, "VIP", Z81&gt;=20000, "Regular", TRUE, "Low Value")</f>
        <v>Regular</v>
      </c>
      <c r="AB81" s="8" t="str">
        <f>INDEX(Products!$B:$B, MATCH(E81, Products!$A:$A, 0))</f>
        <v>Electronics</v>
      </c>
    </row>
    <row r="82" spans="1:28" x14ac:dyDescent="0.3">
      <c r="A82" t="s">
        <v>86</v>
      </c>
      <c r="B82" s="4">
        <v>45835.860034722216</v>
      </c>
      <c r="C82" s="8" t="s">
        <v>4</v>
      </c>
      <c r="D82">
        <v>1007</v>
      </c>
      <c r="E82" s="8" t="s">
        <v>14</v>
      </c>
      <c r="F82">
        <v>3</v>
      </c>
      <c r="G82">
        <v>119</v>
      </c>
      <c r="H82" s="8" t="str">
        <f>_xlfn.XLOOKUP(E82,Products!$A$2:$A$7,Products!$B$2:$B$7,"Not Found",0)</f>
        <v>Electronics</v>
      </c>
      <c r="I82">
        <f>_xlfn.XLOOKUP(E82,Products!$A$2:$A$7,Products!$D$2:$D$7,"Not Found", 0)</f>
        <v>469</v>
      </c>
      <c r="L82">
        <f>_xlfn.XLOOKUP(E82,Products!$A$2:$A$7,Products!$E$2:$E$7,"Not Found", 0)</f>
        <v>0.22</v>
      </c>
      <c r="M82">
        <f t="shared" si="18"/>
        <v>45838</v>
      </c>
      <c r="N82">
        <f>_xlfn.XLOOKUP(A82, Operations!$A:$A, Operations!$B:$B, 0)</f>
        <v>7</v>
      </c>
      <c r="O82">
        <f>_xlfn.XLOOKUP(A82, Operations!$A:$A, Operations!$C:$C, 0)</f>
        <v>0.05</v>
      </c>
      <c r="P82">
        <f>_xlfn.XLOOKUP(M82, Finance!$A:$A, Finance!$B:$B, 0)</f>
        <v>20079</v>
      </c>
      <c r="Q82">
        <f>_xlfn.XLOOKUP(M82, Finance!$A:$A, Finance!$C:$C, 0)</f>
        <v>99954</v>
      </c>
      <c r="R82">
        <f>_xlfn.XLOOKUP(M82, Finance!$A:$A, Finance!$D:$D, 0)</f>
        <v>15769</v>
      </c>
      <c r="S82">
        <f t="shared" si="19"/>
        <v>357</v>
      </c>
      <c r="T82">
        <f t="shared" si="20"/>
        <v>278.46000000000004</v>
      </c>
      <c r="U82">
        <f t="shared" si="21"/>
        <v>7</v>
      </c>
      <c r="V82">
        <f t="shared" si="22"/>
        <v>2868.4285714285716</v>
      </c>
      <c r="W82">
        <f t="shared" si="23"/>
        <v>14279.142857142857</v>
      </c>
      <c r="X82">
        <f t="shared" si="24"/>
        <v>2252.7142857142858</v>
      </c>
      <c r="Y82">
        <f t="shared" si="25"/>
        <v>-20450.285714285714</v>
      </c>
      <c r="Z82">
        <f t="shared" si="26"/>
        <v>29517</v>
      </c>
      <c r="AA82" t="str" cm="1">
        <f t="array" ref="AA82">_xlfn.IFS(Z82&gt;50000, "VIP", Z82&gt;=20000, "Regular", TRUE, "Low Value")</f>
        <v>Regular</v>
      </c>
      <c r="AB82" s="8" t="str">
        <f>INDEX(Products!$B:$B, MATCH(E82, Products!$A:$A, 0))</f>
        <v>Electronics</v>
      </c>
    </row>
    <row r="83" spans="1:28" x14ac:dyDescent="0.3">
      <c r="A83" t="s">
        <v>85</v>
      </c>
      <c r="B83" s="4">
        <v>45773.565625000003</v>
      </c>
      <c r="C83" s="8" t="s">
        <v>4</v>
      </c>
      <c r="D83">
        <v>1007</v>
      </c>
      <c r="E83" s="8" t="s">
        <v>21</v>
      </c>
      <c r="F83">
        <v>6</v>
      </c>
      <c r="G83">
        <v>1219</v>
      </c>
      <c r="H83" s="8" t="str">
        <f>_xlfn.XLOOKUP(E83,Products!$A$2:$A$7,Products!$B$2:$B$7,"Not Found",0)</f>
        <v>Electronics</v>
      </c>
      <c r="I83">
        <f>_xlfn.XLOOKUP(E83,Products!$A$2:$A$7,Products!$D$2:$D$7,"Not Found", 0)</f>
        <v>97</v>
      </c>
      <c r="L83">
        <f>_xlfn.XLOOKUP(E83,Products!$A$2:$A$7,Products!$E$2:$E$7,"Not Found", 0)</f>
        <v>0.08</v>
      </c>
      <c r="M83">
        <f t="shared" si="18"/>
        <v>45777</v>
      </c>
      <c r="N83">
        <f>_xlfn.XLOOKUP(A83, Operations!$A:$A, Operations!$B:$B, 0)</f>
        <v>3</v>
      </c>
      <c r="O83">
        <f>_xlfn.XLOOKUP(A83, Operations!$A:$A, Operations!$C:$C, 0)</f>
        <v>0.02</v>
      </c>
      <c r="P83">
        <f>_xlfn.XLOOKUP(M83, Finance!$A:$A, Finance!$B:$B, 0)</f>
        <v>44423</v>
      </c>
      <c r="Q83">
        <f>_xlfn.XLOOKUP(M83, Finance!$A:$A, Finance!$C:$C, 0)</f>
        <v>90674</v>
      </c>
      <c r="R83">
        <f>_xlfn.XLOOKUP(M83, Finance!$A:$A, Finance!$D:$D, 0)</f>
        <v>21152</v>
      </c>
      <c r="S83">
        <f t="shared" si="19"/>
        <v>7314</v>
      </c>
      <c r="T83">
        <f t="shared" si="20"/>
        <v>6728.88</v>
      </c>
      <c r="U83">
        <f t="shared" si="21"/>
        <v>14</v>
      </c>
      <c r="V83">
        <f t="shared" si="22"/>
        <v>3173.0714285714284</v>
      </c>
      <c r="W83">
        <f t="shared" si="23"/>
        <v>6476.7142857142853</v>
      </c>
      <c r="X83">
        <f t="shared" si="24"/>
        <v>1510.8571428571429</v>
      </c>
      <c r="Y83">
        <f t="shared" si="25"/>
        <v>-4428.6428571428569</v>
      </c>
      <c r="Z83">
        <f t="shared" si="26"/>
        <v>29517</v>
      </c>
      <c r="AA83" t="str" cm="1">
        <f t="array" ref="AA83">_xlfn.IFS(Z83&gt;50000, "VIP", Z83&gt;=20000, "Regular", TRUE, "Low Value")</f>
        <v>Regular</v>
      </c>
      <c r="AB83" s="8" t="str">
        <f>INDEX(Products!$B:$B, MATCH(E83, Products!$A:$A, 0))</f>
        <v>Electronics</v>
      </c>
    </row>
    <row r="84" spans="1:28" x14ac:dyDescent="0.3">
      <c r="A84" t="s">
        <v>84</v>
      </c>
      <c r="B84" s="4">
        <v>45790.724930555552</v>
      </c>
      <c r="C84" s="8" t="s">
        <v>11</v>
      </c>
      <c r="D84">
        <v>1020</v>
      </c>
      <c r="E84" s="8" t="s">
        <v>3</v>
      </c>
      <c r="F84">
        <v>2</v>
      </c>
      <c r="G84">
        <v>1169</v>
      </c>
      <c r="H84" s="8" t="str">
        <f>_xlfn.XLOOKUP(E84,Products!$A$2:$A$7,Products!$B$2:$B$7,"Not Found",0)</f>
        <v>Office</v>
      </c>
      <c r="I84">
        <f>_xlfn.XLOOKUP(E84,Products!$A$2:$A$7,Products!$D$2:$D$7,"Not Found", 0)</f>
        <v>136</v>
      </c>
      <c r="L84">
        <f>_xlfn.XLOOKUP(E84,Products!$A$2:$A$7,Products!$E$2:$E$7,"Not Found", 0)</f>
        <v>0.1</v>
      </c>
      <c r="M84">
        <f t="shared" si="18"/>
        <v>45808</v>
      </c>
      <c r="N84">
        <f>_xlfn.XLOOKUP(A84, Operations!$A:$A, Operations!$B:$B, 0)</f>
        <v>5</v>
      </c>
      <c r="O84">
        <f>_xlfn.XLOOKUP(A84, Operations!$A:$A, Operations!$C:$C, 0)</f>
        <v>0.09</v>
      </c>
      <c r="P84">
        <f>_xlfn.XLOOKUP(M84, Finance!$A:$A, Finance!$B:$B, 0)</f>
        <v>32119</v>
      </c>
      <c r="Q84">
        <f>_xlfn.XLOOKUP(M84, Finance!$A:$A, Finance!$C:$C, 0)</f>
        <v>55646</v>
      </c>
      <c r="R84">
        <f>_xlfn.XLOOKUP(M84, Finance!$A:$A, Finance!$D:$D, 0)</f>
        <v>19723</v>
      </c>
      <c r="S84">
        <f t="shared" si="19"/>
        <v>2338</v>
      </c>
      <c r="T84">
        <f t="shared" si="20"/>
        <v>2104.2000000000003</v>
      </c>
      <c r="U84">
        <f t="shared" si="21"/>
        <v>9</v>
      </c>
      <c r="V84">
        <f t="shared" si="22"/>
        <v>3568.7777777777778</v>
      </c>
      <c r="W84">
        <f t="shared" si="23"/>
        <v>6182.8888888888887</v>
      </c>
      <c r="X84">
        <f t="shared" si="24"/>
        <v>2191.4444444444443</v>
      </c>
      <c r="Y84">
        <f t="shared" si="25"/>
        <v>-9877.1111111111095</v>
      </c>
      <c r="Z84">
        <f t="shared" si="26"/>
        <v>21494</v>
      </c>
      <c r="AA84" t="str" cm="1">
        <f t="array" ref="AA84">_xlfn.IFS(Z84&gt;50000, "VIP", Z84&gt;=20000, "Regular", TRUE, "Low Value")</f>
        <v>Regular</v>
      </c>
      <c r="AB84" s="8" t="str">
        <f>INDEX(Products!$B:$B, MATCH(E84, Products!$A:$A, 0))</f>
        <v>Office</v>
      </c>
    </row>
    <row r="85" spans="1:28" x14ac:dyDescent="0.3">
      <c r="A85" t="s">
        <v>83</v>
      </c>
      <c r="B85" s="4">
        <v>45790.060497685183</v>
      </c>
      <c r="C85" s="8" t="s">
        <v>4</v>
      </c>
      <c r="D85">
        <v>1019</v>
      </c>
      <c r="E85" s="8" t="s">
        <v>8</v>
      </c>
      <c r="F85">
        <v>4</v>
      </c>
      <c r="G85">
        <v>1964</v>
      </c>
      <c r="H85" s="8" t="str">
        <f>_xlfn.XLOOKUP(E85,Products!$A$2:$A$7,Products!$B$2:$B$7,"Not Found",0)</f>
        <v>Accessories</v>
      </c>
      <c r="I85">
        <f>_xlfn.XLOOKUP(E85,Products!$A$2:$A$7,Products!$D$2:$D$7,"Not Found", 0)</f>
        <v>323</v>
      </c>
      <c r="L85">
        <f>_xlfn.XLOOKUP(E85,Products!$A$2:$A$7,Products!$E$2:$E$7,"Not Found", 0)</f>
        <v>0.1</v>
      </c>
      <c r="M85">
        <f t="shared" si="18"/>
        <v>45808</v>
      </c>
      <c r="N85">
        <f>_xlfn.XLOOKUP(A85, Operations!$A:$A, Operations!$B:$B, 0)</f>
        <v>3</v>
      </c>
      <c r="O85">
        <f>_xlfn.XLOOKUP(A85, Operations!$A:$A, Operations!$C:$C, 0)</f>
        <v>0.02</v>
      </c>
      <c r="P85">
        <f>_xlfn.XLOOKUP(M85, Finance!$A:$A, Finance!$B:$B, 0)</f>
        <v>32119</v>
      </c>
      <c r="Q85">
        <f>_xlfn.XLOOKUP(M85, Finance!$A:$A, Finance!$C:$C, 0)</f>
        <v>55646</v>
      </c>
      <c r="R85">
        <f>_xlfn.XLOOKUP(M85, Finance!$A:$A, Finance!$D:$D, 0)</f>
        <v>19723</v>
      </c>
      <c r="S85">
        <f t="shared" si="19"/>
        <v>7856</v>
      </c>
      <c r="T85">
        <f t="shared" si="20"/>
        <v>7070.4000000000005</v>
      </c>
      <c r="U85">
        <f t="shared" si="21"/>
        <v>9</v>
      </c>
      <c r="V85">
        <f t="shared" si="22"/>
        <v>3568.7777777777778</v>
      </c>
      <c r="W85">
        <f t="shared" si="23"/>
        <v>6182.8888888888887</v>
      </c>
      <c r="X85">
        <f t="shared" si="24"/>
        <v>2191.4444444444443</v>
      </c>
      <c r="Y85">
        <f t="shared" si="25"/>
        <v>-5379.1111111111113</v>
      </c>
      <c r="Z85">
        <f t="shared" si="26"/>
        <v>20633</v>
      </c>
      <c r="AA85" t="str" cm="1">
        <f t="array" ref="AA85">_xlfn.IFS(Z85&gt;50000, "VIP", Z85&gt;=20000, "Regular", TRUE, "Low Value")</f>
        <v>Regular</v>
      </c>
      <c r="AB85" s="8" t="str">
        <f>INDEX(Products!$B:$B, MATCH(E85, Products!$A:$A, 0))</f>
        <v>Accessories</v>
      </c>
    </row>
    <row r="86" spans="1:28" x14ac:dyDescent="0.3">
      <c r="A86" t="s">
        <v>82</v>
      </c>
      <c r="B86" s="4">
        <v>45797.920590277783</v>
      </c>
      <c r="C86" s="8" t="s">
        <v>4</v>
      </c>
      <c r="D86">
        <v>1002</v>
      </c>
      <c r="E86" s="8" t="s">
        <v>31</v>
      </c>
      <c r="F86">
        <v>4</v>
      </c>
      <c r="G86">
        <v>1929</v>
      </c>
      <c r="H86" s="8" t="str">
        <f>_xlfn.XLOOKUP(E86,Products!$A$2:$A$7,Products!$B$2:$B$7,"Not Found",0)</f>
        <v>Electronics</v>
      </c>
      <c r="I86">
        <f>_xlfn.XLOOKUP(E86,Products!$A$2:$A$7,Products!$D$2:$D$7,"Not Found", 0)</f>
        <v>492</v>
      </c>
      <c r="L86">
        <f>_xlfn.XLOOKUP(E86,Products!$A$2:$A$7,Products!$E$2:$E$7,"Not Found", 0)</f>
        <v>0.14000000000000001</v>
      </c>
      <c r="M86">
        <f t="shared" si="18"/>
        <v>45808</v>
      </c>
      <c r="N86">
        <f>_xlfn.XLOOKUP(A86, Operations!$A:$A, Operations!$B:$B, 0)</f>
        <v>8</v>
      </c>
      <c r="O86">
        <f>_xlfn.XLOOKUP(A86, Operations!$A:$A, Operations!$C:$C, 0)</f>
        <v>0.1</v>
      </c>
      <c r="P86">
        <f>_xlfn.XLOOKUP(M86, Finance!$A:$A, Finance!$B:$B, 0)</f>
        <v>32119</v>
      </c>
      <c r="Q86">
        <f>_xlfn.XLOOKUP(M86, Finance!$A:$A, Finance!$C:$C, 0)</f>
        <v>55646</v>
      </c>
      <c r="R86">
        <f>_xlfn.XLOOKUP(M86, Finance!$A:$A, Finance!$D:$D, 0)</f>
        <v>19723</v>
      </c>
      <c r="S86">
        <f t="shared" si="19"/>
        <v>7716</v>
      </c>
      <c r="T86">
        <f t="shared" si="20"/>
        <v>6635.76</v>
      </c>
      <c r="U86">
        <f t="shared" si="21"/>
        <v>9</v>
      </c>
      <c r="V86">
        <f t="shared" si="22"/>
        <v>3568.7777777777778</v>
      </c>
      <c r="W86">
        <f t="shared" si="23"/>
        <v>6182.8888888888887</v>
      </c>
      <c r="X86">
        <f t="shared" si="24"/>
        <v>2191.4444444444443</v>
      </c>
      <c r="Y86">
        <f t="shared" si="25"/>
        <v>-6195.1111111111113</v>
      </c>
      <c r="Z86">
        <f t="shared" si="26"/>
        <v>14833</v>
      </c>
      <c r="AA86" t="str" cm="1">
        <f t="array" ref="AA86">_xlfn.IFS(Z86&gt;50000, "VIP", Z86&gt;=20000, "Regular", TRUE, "Low Value")</f>
        <v>Low Value</v>
      </c>
      <c r="AB86" s="8" t="str">
        <f>INDEX(Products!$B:$B, MATCH(E86, Products!$A:$A, 0))</f>
        <v>Electronics</v>
      </c>
    </row>
    <row r="87" spans="1:28" x14ac:dyDescent="0.3">
      <c r="A87" t="s">
        <v>81</v>
      </c>
      <c r="B87" s="4">
        <v>45756.893043981479</v>
      </c>
      <c r="C87" s="8" t="s">
        <v>1</v>
      </c>
      <c r="D87">
        <v>1005</v>
      </c>
      <c r="E87" s="8" t="s">
        <v>3</v>
      </c>
      <c r="F87">
        <v>2</v>
      </c>
      <c r="G87">
        <v>109</v>
      </c>
      <c r="H87" s="8" t="str">
        <f>_xlfn.XLOOKUP(E87,Products!$A$2:$A$7,Products!$B$2:$B$7,"Not Found",0)</f>
        <v>Office</v>
      </c>
      <c r="I87">
        <f>_xlfn.XLOOKUP(E87,Products!$A$2:$A$7,Products!$D$2:$D$7,"Not Found", 0)</f>
        <v>136</v>
      </c>
      <c r="L87">
        <f>_xlfn.XLOOKUP(E87,Products!$A$2:$A$7,Products!$E$2:$E$7,"Not Found", 0)</f>
        <v>0.1</v>
      </c>
      <c r="M87">
        <f t="shared" si="18"/>
        <v>45777</v>
      </c>
      <c r="N87">
        <f>_xlfn.XLOOKUP(A87, Operations!$A:$A, Operations!$B:$B, 0)</f>
        <v>2</v>
      </c>
      <c r="O87">
        <f>_xlfn.XLOOKUP(A87, Operations!$A:$A, Operations!$C:$C, 0)</f>
        <v>0.06</v>
      </c>
      <c r="P87">
        <f>_xlfn.XLOOKUP(M87, Finance!$A:$A, Finance!$B:$B, 0)</f>
        <v>44423</v>
      </c>
      <c r="Q87">
        <f>_xlfn.XLOOKUP(M87, Finance!$A:$A, Finance!$C:$C, 0)</f>
        <v>90674</v>
      </c>
      <c r="R87">
        <f>_xlfn.XLOOKUP(M87, Finance!$A:$A, Finance!$D:$D, 0)</f>
        <v>21152</v>
      </c>
      <c r="S87">
        <f t="shared" si="19"/>
        <v>218</v>
      </c>
      <c r="T87">
        <f t="shared" si="20"/>
        <v>196.20000000000002</v>
      </c>
      <c r="U87">
        <f t="shared" si="21"/>
        <v>14</v>
      </c>
      <c r="V87">
        <f t="shared" si="22"/>
        <v>3173.0714285714284</v>
      </c>
      <c r="W87">
        <f t="shared" si="23"/>
        <v>6476.7142857142853</v>
      </c>
      <c r="X87">
        <f t="shared" si="24"/>
        <v>1510.8571428571429</v>
      </c>
      <c r="Y87">
        <f t="shared" si="25"/>
        <v>-11214.642857142857</v>
      </c>
      <c r="Z87">
        <f t="shared" si="26"/>
        <v>24821</v>
      </c>
      <c r="AA87" t="str" cm="1">
        <f t="array" ref="AA87">_xlfn.IFS(Z87&gt;50000, "VIP", Z87&gt;=20000, "Regular", TRUE, "Low Value")</f>
        <v>Regular</v>
      </c>
      <c r="AB87" s="8" t="str">
        <f>INDEX(Products!$B:$B, MATCH(E87, Products!$A:$A, 0))</f>
        <v>Office</v>
      </c>
    </row>
    <row r="88" spans="1:28" x14ac:dyDescent="0.3">
      <c r="A88" t="s">
        <v>80</v>
      </c>
      <c r="B88" s="4">
        <v>45782.080439814818</v>
      </c>
      <c r="C88" s="8" t="s">
        <v>9</v>
      </c>
      <c r="D88">
        <v>1009</v>
      </c>
      <c r="E88" s="8" t="s">
        <v>21</v>
      </c>
      <c r="F88">
        <v>9</v>
      </c>
      <c r="G88">
        <v>249</v>
      </c>
      <c r="H88" s="8" t="str">
        <f>_xlfn.XLOOKUP(E88,Products!$A$2:$A$7,Products!$B$2:$B$7,"Not Found",0)</f>
        <v>Electronics</v>
      </c>
      <c r="I88">
        <f>_xlfn.XLOOKUP(E88,Products!$A$2:$A$7,Products!$D$2:$D$7,"Not Found", 0)</f>
        <v>97</v>
      </c>
      <c r="L88">
        <f>_xlfn.XLOOKUP(E88,Products!$A$2:$A$7,Products!$E$2:$E$7,"Not Found", 0)</f>
        <v>0.08</v>
      </c>
      <c r="M88">
        <f t="shared" si="18"/>
        <v>45808</v>
      </c>
      <c r="N88">
        <f>_xlfn.XLOOKUP(A88, Operations!$A:$A, Operations!$B:$B, 0)</f>
        <v>7</v>
      </c>
      <c r="O88">
        <f>_xlfn.XLOOKUP(A88, Operations!$A:$A, Operations!$C:$C, 0)</f>
        <v>0.02</v>
      </c>
      <c r="P88">
        <f>_xlfn.XLOOKUP(M88, Finance!$A:$A, Finance!$B:$B, 0)</f>
        <v>32119</v>
      </c>
      <c r="Q88">
        <f>_xlfn.XLOOKUP(M88, Finance!$A:$A, Finance!$C:$C, 0)</f>
        <v>55646</v>
      </c>
      <c r="R88">
        <f>_xlfn.XLOOKUP(M88, Finance!$A:$A, Finance!$D:$D, 0)</f>
        <v>19723</v>
      </c>
      <c r="S88">
        <f t="shared" si="19"/>
        <v>2241</v>
      </c>
      <c r="T88">
        <f t="shared" si="20"/>
        <v>2061.7200000000003</v>
      </c>
      <c r="U88">
        <f t="shared" si="21"/>
        <v>9</v>
      </c>
      <c r="V88">
        <f t="shared" si="22"/>
        <v>3568.7777777777778</v>
      </c>
      <c r="W88">
        <f t="shared" si="23"/>
        <v>6182.8888888888887</v>
      </c>
      <c r="X88">
        <f t="shared" si="24"/>
        <v>2191.4444444444443</v>
      </c>
      <c r="Y88">
        <f t="shared" si="25"/>
        <v>-10575.111111111109</v>
      </c>
      <c r="Z88">
        <f t="shared" si="26"/>
        <v>26022</v>
      </c>
      <c r="AA88" t="str" cm="1">
        <f t="array" ref="AA88">_xlfn.IFS(Z88&gt;50000, "VIP", Z88&gt;=20000, "Regular", TRUE, "Low Value")</f>
        <v>Regular</v>
      </c>
      <c r="AB88" s="8" t="str">
        <f>INDEX(Products!$B:$B, MATCH(E88, Products!$A:$A, 0))</f>
        <v>Electronics</v>
      </c>
    </row>
    <row r="89" spans="1:28" x14ac:dyDescent="0.3">
      <c r="A89" t="s">
        <v>79</v>
      </c>
      <c r="B89" s="4">
        <v>45770.850115740737</v>
      </c>
      <c r="C89" s="8" t="s">
        <v>1</v>
      </c>
      <c r="D89">
        <v>1018</v>
      </c>
      <c r="E89" s="8" t="s">
        <v>8</v>
      </c>
      <c r="F89">
        <v>7</v>
      </c>
      <c r="G89">
        <v>520</v>
      </c>
      <c r="H89" s="8" t="str">
        <f>_xlfn.XLOOKUP(E89,Products!$A$2:$A$7,Products!$B$2:$B$7,"Not Found",0)</f>
        <v>Accessories</v>
      </c>
      <c r="I89">
        <f>_xlfn.XLOOKUP(E89,Products!$A$2:$A$7,Products!$D$2:$D$7,"Not Found", 0)</f>
        <v>323</v>
      </c>
      <c r="L89">
        <f>_xlfn.XLOOKUP(E89,Products!$A$2:$A$7,Products!$E$2:$E$7,"Not Found", 0)</f>
        <v>0.1</v>
      </c>
      <c r="M89">
        <f t="shared" si="18"/>
        <v>45777</v>
      </c>
      <c r="N89">
        <f>_xlfn.XLOOKUP(A89, Operations!$A:$A, Operations!$B:$B, 0)</f>
        <v>7</v>
      </c>
      <c r="O89">
        <f>_xlfn.XLOOKUP(A89, Operations!$A:$A, Operations!$C:$C, 0)</f>
        <v>0.04</v>
      </c>
      <c r="P89">
        <f>_xlfn.XLOOKUP(M89, Finance!$A:$A, Finance!$B:$B, 0)</f>
        <v>44423</v>
      </c>
      <c r="Q89">
        <f>_xlfn.XLOOKUP(M89, Finance!$A:$A, Finance!$C:$C, 0)</f>
        <v>90674</v>
      </c>
      <c r="R89">
        <f>_xlfn.XLOOKUP(M89, Finance!$A:$A, Finance!$D:$D, 0)</f>
        <v>21152</v>
      </c>
      <c r="S89">
        <f t="shared" si="19"/>
        <v>3640</v>
      </c>
      <c r="T89">
        <f t="shared" si="20"/>
        <v>3276</v>
      </c>
      <c r="U89">
        <f t="shared" si="21"/>
        <v>14</v>
      </c>
      <c r="V89">
        <f t="shared" si="22"/>
        <v>3173.0714285714284</v>
      </c>
      <c r="W89">
        <f t="shared" si="23"/>
        <v>6476.7142857142853</v>
      </c>
      <c r="X89">
        <f t="shared" si="24"/>
        <v>1510.8571428571429</v>
      </c>
      <c r="Y89">
        <f t="shared" si="25"/>
        <v>-9781.6428571428569</v>
      </c>
      <c r="Z89">
        <f t="shared" si="26"/>
        <v>31997</v>
      </c>
      <c r="AA89" t="str" cm="1">
        <f t="array" ref="AA89">_xlfn.IFS(Z89&gt;50000, "VIP", Z89&gt;=20000, "Regular", TRUE, "Low Value")</f>
        <v>Regular</v>
      </c>
      <c r="AB89" s="8" t="str">
        <f>INDEX(Products!$B:$B, MATCH(E89, Products!$A:$A, 0))</f>
        <v>Accessories</v>
      </c>
    </row>
    <row r="90" spans="1:28" x14ac:dyDescent="0.3">
      <c r="A90" t="s">
        <v>78</v>
      </c>
      <c r="B90" s="4">
        <v>45811.899641203701</v>
      </c>
      <c r="C90" s="8" t="s">
        <v>11</v>
      </c>
      <c r="D90">
        <v>1007</v>
      </c>
      <c r="E90" s="8" t="s">
        <v>0</v>
      </c>
      <c r="F90">
        <v>9</v>
      </c>
      <c r="G90">
        <v>854</v>
      </c>
      <c r="H90" s="8" t="str">
        <f>_xlfn.XLOOKUP(E90,Products!$A$2:$A$7,Products!$B$2:$B$7,"Not Found",0)</f>
        <v>Electronics</v>
      </c>
      <c r="I90">
        <f>_xlfn.XLOOKUP(E90,Products!$A$2:$A$7,Products!$D$2:$D$7,"Not Found", 0)</f>
        <v>463</v>
      </c>
      <c r="L90">
        <f>_xlfn.XLOOKUP(E90,Products!$A$2:$A$7,Products!$E$2:$E$7,"Not Found", 0)</f>
        <v>0.23</v>
      </c>
      <c r="M90">
        <f t="shared" si="18"/>
        <v>45838</v>
      </c>
      <c r="N90">
        <f>_xlfn.XLOOKUP(A90, Operations!$A:$A, Operations!$B:$B, 0)</f>
        <v>1</v>
      </c>
      <c r="O90">
        <f>_xlfn.XLOOKUP(A90, Operations!$A:$A, Operations!$C:$C, 0)</f>
        <v>0.02</v>
      </c>
      <c r="P90">
        <f>_xlfn.XLOOKUP(M90, Finance!$A:$A, Finance!$B:$B, 0)</f>
        <v>20079</v>
      </c>
      <c r="Q90">
        <f>_xlfn.XLOOKUP(M90, Finance!$A:$A, Finance!$C:$C, 0)</f>
        <v>99954</v>
      </c>
      <c r="R90">
        <f>_xlfn.XLOOKUP(M90, Finance!$A:$A, Finance!$D:$D, 0)</f>
        <v>15769</v>
      </c>
      <c r="S90">
        <f t="shared" si="19"/>
        <v>7686</v>
      </c>
      <c r="T90">
        <f t="shared" si="20"/>
        <v>5918.22</v>
      </c>
      <c r="U90">
        <f t="shared" si="21"/>
        <v>7</v>
      </c>
      <c r="V90">
        <f t="shared" si="22"/>
        <v>2868.4285714285716</v>
      </c>
      <c r="W90">
        <f t="shared" si="23"/>
        <v>14279.142857142857</v>
      </c>
      <c r="X90">
        <f t="shared" si="24"/>
        <v>2252.7142857142858</v>
      </c>
      <c r="Y90">
        <f t="shared" si="25"/>
        <v>-15881.285714285714</v>
      </c>
      <c r="Z90">
        <f t="shared" si="26"/>
        <v>29517</v>
      </c>
      <c r="AA90" t="str" cm="1">
        <f t="array" ref="AA90">_xlfn.IFS(Z90&gt;50000, "VIP", Z90&gt;=20000, "Regular", TRUE, "Low Value")</f>
        <v>Regular</v>
      </c>
      <c r="AB90" s="8" t="str">
        <f>INDEX(Products!$B:$B, MATCH(E90, Products!$A:$A, 0))</f>
        <v>Electronics</v>
      </c>
    </row>
    <row r="91" spans="1:28" x14ac:dyDescent="0.3">
      <c r="A91" t="s">
        <v>77</v>
      </c>
      <c r="B91" s="4">
        <v>45752.782893518517</v>
      </c>
      <c r="C91" s="8" t="s">
        <v>1</v>
      </c>
      <c r="D91">
        <v>1006</v>
      </c>
      <c r="E91" s="8" t="s">
        <v>8</v>
      </c>
      <c r="F91">
        <v>2</v>
      </c>
      <c r="G91">
        <v>1035</v>
      </c>
      <c r="H91" s="8" t="str">
        <f>_xlfn.XLOOKUP(E91,Products!$A$2:$A$7,Products!$B$2:$B$7,"Not Found",0)</f>
        <v>Accessories</v>
      </c>
      <c r="I91">
        <f>_xlfn.XLOOKUP(E91,Products!$A$2:$A$7,Products!$D$2:$D$7,"Not Found", 0)</f>
        <v>323</v>
      </c>
      <c r="L91">
        <f>_xlfn.XLOOKUP(E91,Products!$A$2:$A$7,Products!$E$2:$E$7,"Not Found", 0)</f>
        <v>0.1</v>
      </c>
      <c r="M91">
        <f t="shared" si="18"/>
        <v>45777</v>
      </c>
      <c r="N91">
        <f>_xlfn.XLOOKUP(A91, Operations!$A:$A, Operations!$B:$B, 0)</f>
        <v>8</v>
      </c>
      <c r="O91">
        <f>_xlfn.XLOOKUP(A91, Operations!$A:$A, Operations!$C:$C, 0)</f>
        <v>0.04</v>
      </c>
      <c r="P91">
        <f>_xlfn.XLOOKUP(M91, Finance!$A:$A, Finance!$B:$B, 0)</f>
        <v>44423</v>
      </c>
      <c r="Q91">
        <f>_xlfn.XLOOKUP(M91, Finance!$A:$A, Finance!$C:$C, 0)</f>
        <v>90674</v>
      </c>
      <c r="R91">
        <f>_xlfn.XLOOKUP(M91, Finance!$A:$A, Finance!$D:$D, 0)</f>
        <v>21152</v>
      </c>
      <c r="S91">
        <f t="shared" si="19"/>
        <v>2070</v>
      </c>
      <c r="T91">
        <f t="shared" si="20"/>
        <v>1863</v>
      </c>
      <c r="U91">
        <f t="shared" si="21"/>
        <v>14</v>
      </c>
      <c r="V91">
        <f t="shared" si="22"/>
        <v>3173.0714285714284</v>
      </c>
      <c r="W91">
        <f t="shared" si="23"/>
        <v>6476.7142857142853</v>
      </c>
      <c r="X91">
        <f t="shared" si="24"/>
        <v>1510.8571428571429</v>
      </c>
      <c r="Y91">
        <f t="shared" si="25"/>
        <v>-9736.6428571428569</v>
      </c>
      <c r="Z91">
        <f t="shared" si="26"/>
        <v>34295</v>
      </c>
      <c r="AA91" t="str" cm="1">
        <f t="array" ref="AA91">_xlfn.IFS(Z91&gt;50000, "VIP", Z91&gt;=20000, "Regular", TRUE, "Low Value")</f>
        <v>Regular</v>
      </c>
      <c r="AB91" s="8" t="str">
        <f>INDEX(Products!$B:$B, MATCH(E91, Products!$A:$A, 0))</f>
        <v>Accessories</v>
      </c>
    </row>
  </sheetData>
  <conditionalFormatting sqref="A1:A1048576">
    <cfRule type="duplicateValues" dxfId="4" priority="6"/>
  </conditionalFormatting>
  <conditionalFormatting sqref="A2:A91">
    <cfRule type="duplicateValues" dxfId="3" priority="5"/>
  </conditionalFormatting>
  <conditionalFormatting sqref="A1:AB91">
    <cfRule type="expression" dxfId="2" priority="2">
      <formula>AND($Z2&gt;25000, $O2&gt;0.05)</formula>
    </cfRule>
  </conditionalFormatting>
  <conditionalFormatting sqref="N1:N1048576">
    <cfRule type="iconSet" priority="1">
      <iconSet reverse="1">
        <cfvo type="percent" val="0"/>
        <cfvo type="num" val="3" gte="0"/>
        <cfvo type="num" val="6" gte="0"/>
      </iconSet>
    </cfRule>
  </conditionalFormatting>
  <conditionalFormatting sqref="Z1:Z1048576">
    <cfRule type="top10" dxfId="1" priority="4" rank="10"/>
  </conditionalFormatting>
  <dataValidations count="1">
    <dataValidation type="list" allowBlank="1" showInputMessage="1" showErrorMessage="1" sqref="H2:H1048576 AB2:AB1048576" xr:uid="{5578C1A4-3F66-495A-8995-8CEDA1E7D030}">
      <formula1>ProductCategories</formula1>
    </dataValidation>
  </dataValidations>
  <pageMargins left="0.7" right="0.7" top="0.75" bottom="0.75" header="0.3" footer="0.3"/>
  <pageSetup paperSize="9"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451D8356-BD75-4119-BDAD-9CBB2705BD55}">
          <x14:formula1>
            <xm:f>Validation!$A$1:$A$4</xm:f>
          </x14:formula1>
          <xm:sqref>C2:C1048576</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D2E5DA-5ABC-4FBB-939F-450BBF1B2839}">
  <sheetPr codeName="Sheet5"/>
  <dimension ref="A2:C5"/>
  <sheetViews>
    <sheetView workbookViewId="0">
      <selection activeCell="H14" sqref="H14"/>
    </sheetView>
  </sheetViews>
  <sheetFormatPr defaultRowHeight="14.4" x14ac:dyDescent="0.3"/>
  <cols>
    <col min="1" max="1" width="5.5546875" bestFit="1" customWidth="1"/>
    <col min="2" max="2" width="3" bestFit="1" customWidth="1"/>
    <col min="3" max="3" width="12" bestFit="1" customWidth="1"/>
  </cols>
  <sheetData>
    <row r="2" spans="1:3" x14ac:dyDescent="0.3">
      <c r="A2" s="5" t="str" cm="1">
        <f t="array" ref="A2:A5">_xlfn.UNIQUE(Sales_All!$C$2:$C$91)</f>
        <v>South</v>
      </c>
      <c r="B2" cm="1">
        <f t="array" ref="B2:B5">COUNTIF(Sales_All!$C$2:$C$91,_xlfn.ANCHORARRAY( A2))</f>
        <v>23</v>
      </c>
      <c r="C2" cm="1">
        <f t="array" ref="C2:C5">AVERAGEIF(Sales_All!$C$2:$C$91,_xlfn.ANCHORARRAY( A2), Sales_All!$N$2:$N$91)</f>
        <v>5.4347826086956523</v>
      </c>
    </row>
    <row r="3" spans="1:3" x14ac:dyDescent="0.3">
      <c r="A3" t="str">
        <v>West</v>
      </c>
      <c r="B3">
        <v>24</v>
      </c>
      <c r="C3">
        <v>5.083333333333333</v>
      </c>
    </row>
    <row r="4" spans="1:3" x14ac:dyDescent="0.3">
      <c r="A4" t="str">
        <v>East</v>
      </c>
      <c r="B4">
        <v>21</v>
      </c>
      <c r="C4">
        <v>4.3809523809523814</v>
      </c>
    </row>
    <row r="5" spans="1:3" x14ac:dyDescent="0.3">
      <c r="A5" t="str">
        <v>North</v>
      </c>
      <c r="B5">
        <v>22</v>
      </c>
      <c r="C5">
        <v>4.5909090909090908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8C89-2B41-4B5D-B80C-272F0B04E66E}">
  <sheetPr codeName="Sheet6"/>
  <dimension ref="A1:E7"/>
  <sheetViews>
    <sheetView workbookViewId="0">
      <selection sqref="A1:XFD1048576"/>
    </sheetView>
  </sheetViews>
  <sheetFormatPr defaultRowHeight="14.4" x14ac:dyDescent="0.3"/>
  <cols>
    <col min="1" max="1" width="11.21875" bestFit="1" customWidth="1"/>
    <col min="2" max="2" width="10.88671875" bestFit="1" customWidth="1"/>
    <col min="3" max="3" width="8.77734375" bestFit="1" customWidth="1"/>
    <col min="4" max="4" width="8.21875" bestFit="1" customWidth="1"/>
    <col min="5" max="5" width="8.33203125" bestFit="1" customWidth="1"/>
  </cols>
  <sheetData>
    <row r="1" spans="1:5" x14ac:dyDescent="0.3">
      <c r="A1" s="2" t="s">
        <v>42</v>
      </c>
      <c r="B1" s="2" t="s">
        <v>107</v>
      </c>
      <c r="C1" s="2" t="s">
        <v>40</v>
      </c>
      <c r="D1" s="2" t="s">
        <v>108</v>
      </c>
      <c r="E1" s="2" t="s">
        <v>109</v>
      </c>
    </row>
    <row r="2" spans="1:5" x14ac:dyDescent="0.3">
      <c r="A2" t="s">
        <v>14</v>
      </c>
      <c r="B2" t="s">
        <v>111</v>
      </c>
      <c r="C2">
        <v>1299</v>
      </c>
      <c r="D2">
        <v>469</v>
      </c>
      <c r="E2">
        <v>0.22</v>
      </c>
    </row>
    <row r="3" spans="1:5" x14ac:dyDescent="0.3">
      <c r="A3" t="s">
        <v>31</v>
      </c>
      <c r="B3" t="s">
        <v>111</v>
      </c>
      <c r="C3">
        <v>1613</v>
      </c>
      <c r="D3">
        <v>492</v>
      </c>
      <c r="E3">
        <v>0.14000000000000001</v>
      </c>
    </row>
    <row r="4" spans="1:5" x14ac:dyDescent="0.3">
      <c r="A4" t="s">
        <v>21</v>
      </c>
      <c r="B4" t="s">
        <v>111</v>
      </c>
      <c r="C4">
        <v>1402</v>
      </c>
      <c r="D4">
        <v>97</v>
      </c>
      <c r="E4">
        <v>0.08</v>
      </c>
    </row>
    <row r="5" spans="1:5" x14ac:dyDescent="0.3">
      <c r="A5" t="s">
        <v>8</v>
      </c>
      <c r="B5" t="s">
        <v>112</v>
      </c>
      <c r="C5">
        <v>106</v>
      </c>
      <c r="D5">
        <v>323</v>
      </c>
      <c r="E5">
        <v>0.1</v>
      </c>
    </row>
    <row r="6" spans="1:5" x14ac:dyDescent="0.3">
      <c r="A6" t="s">
        <v>0</v>
      </c>
      <c r="B6" t="s">
        <v>111</v>
      </c>
      <c r="C6">
        <v>396</v>
      </c>
      <c r="D6">
        <v>463</v>
      </c>
      <c r="E6">
        <v>0.23</v>
      </c>
    </row>
    <row r="7" spans="1:5" x14ac:dyDescent="0.3">
      <c r="A7" t="s">
        <v>3</v>
      </c>
      <c r="B7" t="s">
        <v>110</v>
      </c>
      <c r="C7">
        <v>1635</v>
      </c>
      <c r="D7">
        <v>136</v>
      </c>
      <c r="E7">
        <v>0.1</v>
      </c>
    </row>
  </sheetData>
  <dataValidations count="3">
    <dataValidation type="list" allowBlank="1" showInputMessage="1" showErrorMessage="1" sqref="A6 A4 A3 A2" xr:uid="{B56C5ABE-21A2-4263-83FC-6F139DD468B6}">
      <formula1>INDIRECT($B$2)</formula1>
    </dataValidation>
    <dataValidation type="list" allowBlank="1" showInputMessage="1" showErrorMessage="1" sqref="A5" xr:uid="{2259686A-28C5-432D-A9A5-6431DFF84D25}">
      <formula1>INDIRECT($B$5)</formula1>
    </dataValidation>
    <dataValidation type="list" allowBlank="1" showInputMessage="1" showErrorMessage="1" sqref="A7" xr:uid="{CB922BF1-882F-48F2-A6D3-70D4E3CF0215}">
      <formula1>INDIRECT($B$7)</formula1>
    </dataValidation>
  </dataValidation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05FC5-BC4B-4248-95AD-FCA6C5AFD2D0}">
  <sheetPr codeName="Sheet7"/>
  <dimension ref="A1:I29"/>
  <sheetViews>
    <sheetView tabSelected="1" workbookViewId="0">
      <selection activeCell="F22" sqref="F22"/>
    </sheetView>
  </sheetViews>
  <sheetFormatPr defaultColWidth="11" defaultRowHeight="14.4" x14ac:dyDescent="0.3"/>
  <cols>
    <col min="1" max="1" width="10.88671875" bestFit="1" customWidth="1"/>
    <col min="2" max="2" width="9.77734375" bestFit="1" customWidth="1"/>
    <col min="3" max="3" width="9.44140625" bestFit="1" customWidth="1"/>
    <col min="4" max="4" width="27.5546875" bestFit="1" customWidth="1"/>
    <col min="5" max="5" width="6.5546875" bestFit="1" customWidth="1"/>
    <col min="6" max="6" width="10.109375" bestFit="1" customWidth="1"/>
    <col min="7" max="7" width="9.77734375" bestFit="1" customWidth="1"/>
    <col min="8" max="8" width="12.5546875" bestFit="1" customWidth="1"/>
    <col min="9" max="9" width="64.77734375" bestFit="1" customWidth="1"/>
  </cols>
  <sheetData>
    <row r="1" spans="1:9" x14ac:dyDescent="0.3">
      <c r="A1" s="2" t="s">
        <v>43</v>
      </c>
      <c r="B1" s="2" t="s">
        <v>159</v>
      </c>
      <c r="C1" s="2" t="s">
        <v>158</v>
      </c>
      <c r="D1" s="2" t="s">
        <v>157</v>
      </c>
      <c r="E1" s="2" t="s">
        <v>44</v>
      </c>
      <c r="F1" s="2" t="s">
        <v>156</v>
      </c>
      <c r="G1" s="2" t="s">
        <v>155</v>
      </c>
      <c r="H1" s="2" t="s">
        <v>154</v>
      </c>
      <c r="I1" s="6" t="s">
        <v>182</v>
      </c>
    </row>
    <row r="2" spans="1:9" x14ac:dyDescent="0.3">
      <c r="A2">
        <v>1001</v>
      </c>
      <c r="B2" t="s">
        <v>137</v>
      </c>
      <c r="C2" t="s">
        <v>153</v>
      </c>
      <c r="D2" t="s">
        <v>152</v>
      </c>
      <c r="E2" t="s">
        <v>1</v>
      </c>
      <c r="F2" t="str">
        <f t="shared" ref="F2:F29" si="0">LEFT(D2, FIND(".", D2) - 1)</f>
        <v>naledi</v>
      </c>
      <c r="G2" t="str">
        <f t="shared" ref="G2:G29" si="1">MID(D2,FIND(".",D2)+1,FIND("@",D2)-FIND(".",D2)-1)</f>
        <v>pillay</v>
      </c>
      <c r="H2" t="str">
        <f t="shared" ref="H2:H29" si="2">RIGHT(D2, LEN(D2) - FIND("@", D2))</f>
        <v>example.com</v>
      </c>
      <c r="I2" t="str" cm="1">
        <f t="array" ref="I2">_xlfn.TEXTJOIN(", ", TRUE, IF(Sales_All!$D$2:$D$97 = A2, Sales_All!$E$2:$E$97, ""))</f>
        <v>Printer, Monitor, Monitor, Monitor, Laptop, Laptop, Smartphone, Headphones</v>
      </c>
    </row>
    <row r="3" spans="1:9" x14ac:dyDescent="0.3">
      <c r="A3">
        <v>1002</v>
      </c>
      <c r="B3" t="s">
        <v>115</v>
      </c>
      <c r="C3" t="s">
        <v>121</v>
      </c>
      <c r="D3" t="s">
        <v>151</v>
      </c>
      <c r="E3" t="s">
        <v>1</v>
      </c>
      <c r="F3" t="str">
        <f t="shared" si="0"/>
        <v>michael</v>
      </c>
      <c r="G3" t="str">
        <f t="shared" si="1"/>
        <v>van wyk</v>
      </c>
      <c r="H3" t="str">
        <f t="shared" si="2"/>
        <v>example.com</v>
      </c>
      <c r="I3" t="str" cm="1">
        <f t="array" ref="I3">_xlfn.TEXTJOIN(", ", TRUE, IF(Sales_All!$D$2:$D$97 = A3, Sales_All!$E$2:$E$97, ""))</f>
        <v>Laptop, Headphones, Laptop, Tablet</v>
      </c>
    </row>
    <row r="4" spans="1:9" x14ac:dyDescent="0.3">
      <c r="A4">
        <v>1003</v>
      </c>
      <c r="B4" t="s">
        <v>137</v>
      </c>
      <c r="C4" t="s">
        <v>131</v>
      </c>
      <c r="D4" t="s">
        <v>150</v>
      </c>
      <c r="E4" t="s">
        <v>1</v>
      </c>
      <c r="F4" t="str">
        <f t="shared" si="0"/>
        <v>naledi</v>
      </c>
      <c r="G4" t="str">
        <f t="shared" si="1"/>
        <v>botha</v>
      </c>
      <c r="H4" t="str">
        <f t="shared" si="2"/>
        <v>example.com</v>
      </c>
      <c r="I4" t="str" cm="1">
        <f t="array" ref="I4">_xlfn.TEXTJOIN(", ", TRUE, IF(Sales_All!$D$2:$D$97 = A4, Sales_All!$E$2:$E$97, ""))</f>
        <v>Printer, Monitor, Monitor, Headphones</v>
      </c>
    </row>
    <row r="5" spans="1:9" x14ac:dyDescent="0.3">
      <c r="A5">
        <v>1004</v>
      </c>
      <c r="B5" t="s">
        <v>137</v>
      </c>
      <c r="C5" t="s">
        <v>131</v>
      </c>
      <c r="D5" t="s">
        <v>150</v>
      </c>
      <c r="E5" t="s">
        <v>9</v>
      </c>
      <c r="F5" t="str">
        <f t="shared" si="0"/>
        <v>naledi</v>
      </c>
      <c r="G5" t="str">
        <f t="shared" si="1"/>
        <v>botha</v>
      </c>
      <c r="H5" t="str">
        <f t="shared" si="2"/>
        <v>example.com</v>
      </c>
      <c r="I5" t="str" cm="1">
        <f t="array" ref="I5">_xlfn.TEXTJOIN(", ", TRUE, IF(Sales_All!$D$2:$D$97 = A5, Sales_All!$E$2:$E$97, ""))</f>
        <v>Headphones, Printer, Laptop</v>
      </c>
    </row>
    <row r="6" spans="1:9" x14ac:dyDescent="0.3">
      <c r="A6">
        <v>1005</v>
      </c>
      <c r="B6" t="s">
        <v>115</v>
      </c>
      <c r="C6" t="s">
        <v>145</v>
      </c>
      <c r="D6" t="s">
        <v>149</v>
      </c>
      <c r="E6" t="s">
        <v>9</v>
      </c>
      <c r="F6" t="str">
        <f t="shared" si="0"/>
        <v>michael</v>
      </c>
      <c r="G6" t="str">
        <f t="shared" si="1"/>
        <v>johnson</v>
      </c>
      <c r="H6" t="str">
        <f t="shared" si="2"/>
        <v>example.com</v>
      </c>
      <c r="I6" t="str" cm="1">
        <f t="array" ref="I6">_xlfn.TEXTJOIN(", ", TRUE, IF(Sales_All!$D$2:$D$97 = A6, Sales_All!$E$2:$E$97, ""))</f>
        <v>Monitor, Printer, Printer, Tablet, Printer</v>
      </c>
    </row>
    <row r="7" spans="1:9" x14ac:dyDescent="0.3">
      <c r="A7">
        <v>1006</v>
      </c>
      <c r="B7" t="s">
        <v>148</v>
      </c>
      <c r="C7" t="s">
        <v>145</v>
      </c>
      <c r="D7" t="s">
        <v>147</v>
      </c>
      <c r="E7" t="s">
        <v>11</v>
      </c>
      <c r="F7" t="str">
        <f t="shared" si="0"/>
        <v>emily</v>
      </c>
      <c r="G7" t="str">
        <f t="shared" si="1"/>
        <v>johnson</v>
      </c>
      <c r="H7" t="str">
        <f t="shared" si="2"/>
        <v>example.com</v>
      </c>
      <c r="I7" t="str" cm="1">
        <f t="array" ref="I7">_xlfn.TEXTJOIN(", ", TRUE, IF(Sales_All!$D$2:$D$97 = A7, Sales_All!$E$2:$E$97, ""))</f>
        <v>Laptop, Monitor, Headphones, Monitor, Laptop, Headphones</v>
      </c>
    </row>
    <row r="8" spans="1:9" x14ac:dyDescent="0.3">
      <c r="A8">
        <v>1007</v>
      </c>
      <c r="B8" t="s">
        <v>115</v>
      </c>
      <c r="C8" t="s">
        <v>136</v>
      </c>
      <c r="D8" t="s">
        <v>146</v>
      </c>
      <c r="E8" t="s">
        <v>4</v>
      </c>
      <c r="F8" t="str">
        <f t="shared" si="0"/>
        <v>michael</v>
      </c>
      <c r="G8" t="str">
        <f t="shared" si="1"/>
        <v>nguyen</v>
      </c>
      <c r="H8" t="str">
        <f t="shared" si="2"/>
        <v>example.com</v>
      </c>
      <c r="I8" t="str" cm="1">
        <f t="array" ref="I8">_xlfn.TEXTJOIN(", ", TRUE, IF(Sales_All!$D$2:$D$97 = A8, Sales_All!$E$2:$E$97, ""))</f>
        <v>Monitor, Laptop, Smartphone, Monitor</v>
      </c>
    </row>
    <row r="9" spans="1:9" x14ac:dyDescent="0.3">
      <c r="A9">
        <v>1008</v>
      </c>
      <c r="B9" t="s">
        <v>129</v>
      </c>
      <c r="C9" t="s">
        <v>145</v>
      </c>
      <c r="D9" t="s">
        <v>144</v>
      </c>
      <c r="E9" t="s">
        <v>1</v>
      </c>
      <c r="F9" t="str">
        <f t="shared" si="0"/>
        <v>sipho</v>
      </c>
      <c r="G9" t="str">
        <f t="shared" si="1"/>
        <v>johnson</v>
      </c>
      <c r="H9" t="str">
        <f t="shared" si="2"/>
        <v>example.com</v>
      </c>
      <c r="I9" t="str" cm="1">
        <f t="array" ref="I9">_xlfn.TEXTJOIN(", ", TRUE, IF(Sales_All!$D$2:$D$97 = A9, Sales_All!$E$2:$E$97, ""))</f>
        <v>Smartphone, Headphones, Laptop</v>
      </c>
    </row>
    <row r="10" spans="1:9" x14ac:dyDescent="0.3">
      <c r="A10">
        <v>1009</v>
      </c>
      <c r="B10" t="s">
        <v>143</v>
      </c>
      <c r="C10" t="s">
        <v>136</v>
      </c>
      <c r="D10" t="s">
        <v>142</v>
      </c>
      <c r="E10" t="s">
        <v>9</v>
      </c>
      <c r="F10" t="str">
        <f t="shared" si="0"/>
        <v>sarah</v>
      </c>
      <c r="G10" t="str">
        <f t="shared" si="1"/>
        <v>nguyen</v>
      </c>
      <c r="H10" t="str">
        <f t="shared" si="2"/>
        <v>example.com</v>
      </c>
      <c r="I10" t="str" cm="1">
        <f t="array" ref="I10">_xlfn.TEXTJOIN(", ", TRUE, IF(Sales_All!$D$2:$D$97 = A10, Sales_All!$E$2:$E$97, ""))</f>
        <v>Monitor, Headphones, Smartphone, Laptop, Printer, Smartphone</v>
      </c>
    </row>
    <row r="11" spans="1:9" x14ac:dyDescent="0.3">
      <c r="A11">
        <v>1010</v>
      </c>
      <c r="B11" t="s">
        <v>117</v>
      </c>
      <c r="C11" t="s">
        <v>124</v>
      </c>
      <c r="D11" t="s">
        <v>141</v>
      </c>
      <c r="E11" t="s">
        <v>1</v>
      </c>
      <c r="F11" t="str">
        <f t="shared" si="0"/>
        <v>john</v>
      </c>
      <c r="G11" t="str">
        <f t="shared" si="1"/>
        <v>brown</v>
      </c>
      <c r="H11" t="str">
        <f t="shared" si="2"/>
        <v>example.com</v>
      </c>
      <c r="I11" t="str" cm="1">
        <f t="array" ref="I11">_xlfn.TEXTJOIN(", ", TRUE, IF(Sales_All!$D$2:$D$97 = A11, Sales_All!$E$2:$E$97, ""))</f>
        <v>Headphones, Headphones, Smartphone, Smartphone, Monitor, Printer, Printer</v>
      </c>
    </row>
    <row r="12" spans="1:9" x14ac:dyDescent="0.3">
      <c r="A12">
        <v>1011</v>
      </c>
      <c r="B12" t="s">
        <v>117</v>
      </c>
      <c r="C12" t="s">
        <v>119</v>
      </c>
      <c r="D12" t="s">
        <v>118</v>
      </c>
      <c r="E12" t="s">
        <v>11</v>
      </c>
      <c r="F12" t="str">
        <f t="shared" si="0"/>
        <v>john</v>
      </c>
      <c r="G12" t="str">
        <f t="shared" si="1"/>
        <v>smith</v>
      </c>
      <c r="H12" t="str">
        <f t="shared" si="2"/>
        <v>example.com</v>
      </c>
      <c r="I12" t="str" cm="1">
        <f t="array" ref="I12">_xlfn.TEXTJOIN(", ", TRUE, IF(Sales_All!$D$2:$D$97 = A12, Sales_All!$E$2:$E$97, ""))</f>
        <v>Printer, Tablet, Headphones</v>
      </c>
    </row>
    <row r="13" spans="1:9" x14ac:dyDescent="0.3">
      <c r="A13">
        <v>1012</v>
      </c>
      <c r="B13" t="s">
        <v>137</v>
      </c>
      <c r="C13" t="s">
        <v>121</v>
      </c>
      <c r="D13" t="s">
        <v>140</v>
      </c>
      <c r="E13" t="s">
        <v>1</v>
      </c>
      <c r="F13" t="str">
        <f t="shared" si="0"/>
        <v>naledi</v>
      </c>
      <c r="G13" t="str">
        <f t="shared" si="1"/>
        <v>van wyk</v>
      </c>
      <c r="H13" t="str">
        <f t="shared" si="2"/>
        <v>example.com</v>
      </c>
      <c r="I13" t="str" cm="1">
        <f t="array" ref="I13">_xlfn.TEXTJOIN(", ", TRUE, IF(Sales_All!$D$2:$D$97 = A13, Sales_All!$E$2:$E$97, ""))</f>
        <v>Laptop, Printer, Monitor, Headphones</v>
      </c>
    </row>
    <row r="14" spans="1:9" x14ac:dyDescent="0.3">
      <c r="A14">
        <v>1013</v>
      </c>
      <c r="B14" t="s">
        <v>129</v>
      </c>
      <c r="C14" t="s">
        <v>121</v>
      </c>
      <c r="D14" t="s">
        <v>128</v>
      </c>
      <c r="E14" t="s">
        <v>11</v>
      </c>
      <c r="F14" t="str">
        <f t="shared" si="0"/>
        <v>sipho</v>
      </c>
      <c r="G14" t="str">
        <f t="shared" si="1"/>
        <v>van wyk</v>
      </c>
      <c r="H14" t="str">
        <f t="shared" si="2"/>
        <v>example.com</v>
      </c>
      <c r="I14" t="str" cm="1">
        <f t="array" ref="I14">_xlfn.TEXTJOIN(", ", TRUE, IF(Sales_All!$D$2:$D$97 = A14, Sales_All!$E$2:$E$97, ""))</f>
        <v>Laptop, Printer</v>
      </c>
    </row>
    <row r="15" spans="1:9" x14ac:dyDescent="0.3">
      <c r="A15">
        <v>1014</v>
      </c>
      <c r="B15" t="s">
        <v>117</v>
      </c>
      <c r="C15" t="s">
        <v>114</v>
      </c>
      <c r="D15" t="s">
        <v>116</v>
      </c>
      <c r="E15" t="s">
        <v>1</v>
      </c>
      <c r="F15" t="str">
        <f t="shared" si="0"/>
        <v>john</v>
      </c>
      <c r="G15" t="str">
        <f t="shared" si="1"/>
        <v>mlambo</v>
      </c>
      <c r="H15" t="str">
        <f t="shared" si="2"/>
        <v>example.com</v>
      </c>
      <c r="I15" t="str" cm="1">
        <f t="array" ref="I15">_xlfn.TEXTJOIN(", ", TRUE, IF(Sales_All!$D$2:$D$97 = A15, Sales_All!$E$2:$E$97, ""))</f>
        <v>Tablet, Headphones, Monitor</v>
      </c>
    </row>
    <row r="16" spans="1:9" x14ac:dyDescent="0.3">
      <c r="A16">
        <v>1015</v>
      </c>
      <c r="B16" t="s">
        <v>117</v>
      </c>
      <c r="C16" t="s">
        <v>119</v>
      </c>
      <c r="D16" t="s">
        <v>118</v>
      </c>
      <c r="E16" t="s">
        <v>11</v>
      </c>
      <c r="F16" t="str">
        <f t="shared" si="0"/>
        <v>john</v>
      </c>
      <c r="G16" t="str">
        <f t="shared" si="1"/>
        <v>smith</v>
      </c>
      <c r="H16" t="str">
        <f t="shared" si="2"/>
        <v>example.com</v>
      </c>
      <c r="I16" t="str" cm="1">
        <f t="array" ref="I16">_xlfn.TEXTJOIN(", ", TRUE, IF(Sales_All!$D$2:$D$97 = A16, Sales_All!$E$2:$E$97, ""))</f>
        <v>Smartphone, Smartphone</v>
      </c>
    </row>
    <row r="17" spans="1:9" x14ac:dyDescent="0.3">
      <c r="A17">
        <v>1016</v>
      </c>
      <c r="B17" t="s">
        <v>129</v>
      </c>
      <c r="C17" t="s">
        <v>136</v>
      </c>
      <c r="D17" t="s">
        <v>139</v>
      </c>
      <c r="E17" t="s">
        <v>4</v>
      </c>
      <c r="F17" t="str">
        <f t="shared" si="0"/>
        <v>sipho</v>
      </c>
      <c r="G17" t="str">
        <f t="shared" si="1"/>
        <v>nguyen</v>
      </c>
      <c r="H17" t="str">
        <f t="shared" si="2"/>
        <v>example.com</v>
      </c>
      <c r="I17" t="str" cm="1">
        <f t="array" ref="I17">_xlfn.TEXTJOIN(", ", TRUE, IF(Sales_All!$D$2:$D$97 = A17, Sales_All!$E$2:$E$97, ""))</f>
        <v>Laptop, Monitor, Monitor, Tablet</v>
      </c>
    </row>
    <row r="18" spans="1:9" x14ac:dyDescent="0.3">
      <c r="A18">
        <v>1017</v>
      </c>
      <c r="B18" t="s">
        <v>129</v>
      </c>
      <c r="C18" t="s">
        <v>119</v>
      </c>
      <c r="D18" t="s">
        <v>138</v>
      </c>
      <c r="E18" t="s">
        <v>9</v>
      </c>
      <c r="F18" t="str">
        <f t="shared" si="0"/>
        <v>sipho</v>
      </c>
      <c r="G18" t="str">
        <f t="shared" si="1"/>
        <v>smith</v>
      </c>
      <c r="H18" t="str">
        <f t="shared" si="2"/>
        <v>example.com</v>
      </c>
      <c r="I18" t="str" cm="1">
        <f t="array" ref="I18">_xlfn.TEXTJOIN(", ", TRUE, IF(Sales_All!$D$2:$D$97 = A18, Sales_All!$E$2:$E$97, ""))</f>
        <v>Tablet, Laptop, Printer, Laptop, Smartphone</v>
      </c>
    </row>
    <row r="19" spans="1:9" x14ac:dyDescent="0.3">
      <c r="A19">
        <v>1018</v>
      </c>
      <c r="B19" t="s">
        <v>115</v>
      </c>
      <c r="C19" t="s">
        <v>114</v>
      </c>
      <c r="D19" t="s">
        <v>113</v>
      </c>
      <c r="E19" t="s">
        <v>11</v>
      </c>
      <c r="F19" t="str">
        <f t="shared" si="0"/>
        <v>michael</v>
      </c>
      <c r="G19" t="str">
        <f t="shared" si="1"/>
        <v>mlambo</v>
      </c>
      <c r="H19" t="str">
        <f t="shared" si="2"/>
        <v>example.com</v>
      </c>
      <c r="I19" t="str" cm="1">
        <f t="array" ref="I19">_xlfn.TEXTJOIN(", ", TRUE, IF(Sales_All!$D$2:$D$97 = A19, Sales_All!$E$2:$E$97, ""))</f>
        <v>Tablet, Smartphone, Monitor, Laptop, Headphones, Headphones</v>
      </c>
    </row>
    <row r="20" spans="1:9" x14ac:dyDescent="0.3">
      <c r="A20">
        <v>1019</v>
      </c>
      <c r="B20" t="s">
        <v>137</v>
      </c>
      <c r="C20" t="s">
        <v>136</v>
      </c>
      <c r="D20" t="s">
        <v>135</v>
      </c>
      <c r="E20" t="s">
        <v>9</v>
      </c>
      <c r="F20" t="str">
        <f t="shared" si="0"/>
        <v>naledi</v>
      </c>
      <c r="G20" t="str">
        <f t="shared" si="1"/>
        <v>nguyen</v>
      </c>
      <c r="H20" t="str">
        <f t="shared" si="2"/>
        <v>example.com</v>
      </c>
      <c r="I20" t="str" cm="1">
        <f t="array" ref="I20">_xlfn.TEXTJOIN(", ", TRUE, IF(Sales_All!$D$2:$D$97 = A20, Sales_All!$E$2:$E$97, ""))</f>
        <v>Laptop, Laptop, Tablet, Tablet, Monitor, Laptop, Headphones</v>
      </c>
    </row>
    <row r="21" spans="1:9" x14ac:dyDescent="0.3">
      <c r="A21">
        <v>1020</v>
      </c>
      <c r="B21" t="s">
        <v>134</v>
      </c>
      <c r="C21" t="s">
        <v>121</v>
      </c>
      <c r="D21" t="s">
        <v>133</v>
      </c>
      <c r="E21" t="s">
        <v>4</v>
      </c>
      <c r="F21" t="str">
        <f t="shared" si="0"/>
        <v>david</v>
      </c>
      <c r="G21" t="str">
        <f t="shared" si="1"/>
        <v>van wyk</v>
      </c>
      <c r="H21" t="str">
        <f t="shared" si="2"/>
        <v>example.com</v>
      </c>
      <c r="I21" t="str" cm="1">
        <f t="array" ref="I21">_xlfn.TEXTJOIN(", ", TRUE, IF(Sales_All!$D$2:$D$97 = A21, Sales_All!$E$2:$E$97, ""))</f>
        <v>Printer, Headphones, Laptop, Printer</v>
      </c>
    </row>
    <row r="22" spans="1:9" x14ac:dyDescent="0.3">
      <c r="A22">
        <v>1021</v>
      </c>
      <c r="B22" t="s">
        <v>132</v>
      </c>
      <c r="C22" t="s">
        <v>131</v>
      </c>
      <c r="D22" t="s">
        <v>130</v>
      </c>
      <c r="E22" t="s">
        <v>11</v>
      </c>
      <c r="F22" t="str">
        <f t="shared" si="0"/>
        <v>thabo</v>
      </c>
      <c r="G22" t="str">
        <f t="shared" si="1"/>
        <v>botha</v>
      </c>
      <c r="H22" t="str">
        <f t="shared" si="2"/>
        <v>example.com</v>
      </c>
      <c r="I22" t="str" cm="1">
        <f t="array" ref="I22">_xlfn.TEXTJOIN(", ", TRUE, IF(Sales_All!$D$2:$D$97 = A22, Sales_All!$E$2:$E$97, ""))</f>
        <v/>
      </c>
    </row>
    <row r="23" spans="1:9" x14ac:dyDescent="0.3">
      <c r="A23">
        <v>1022</v>
      </c>
      <c r="B23" t="s">
        <v>129</v>
      </c>
      <c r="C23" t="s">
        <v>121</v>
      </c>
      <c r="D23" t="s">
        <v>128</v>
      </c>
      <c r="E23" t="s">
        <v>4</v>
      </c>
      <c r="F23" t="str">
        <f t="shared" si="0"/>
        <v>sipho</v>
      </c>
      <c r="G23" t="str">
        <f t="shared" si="1"/>
        <v>van wyk</v>
      </c>
      <c r="H23" t="str">
        <f t="shared" si="2"/>
        <v>example.com</v>
      </c>
      <c r="I23" t="str" cm="1">
        <f t="array" ref="I23">_xlfn.TEXTJOIN(", ", TRUE, IF(Sales_All!$D$2:$D$97 = A23, Sales_All!$E$2:$E$97, ""))</f>
        <v/>
      </c>
    </row>
    <row r="24" spans="1:9" x14ac:dyDescent="0.3">
      <c r="A24">
        <v>1023</v>
      </c>
      <c r="B24" t="s">
        <v>122</v>
      </c>
      <c r="C24" t="s">
        <v>127</v>
      </c>
      <c r="D24" t="s">
        <v>126</v>
      </c>
      <c r="E24" t="s">
        <v>4</v>
      </c>
      <c r="F24" t="str">
        <f t="shared" si="0"/>
        <v>lerato</v>
      </c>
      <c r="G24" t="str">
        <f t="shared" si="1"/>
        <v>naidoo</v>
      </c>
      <c r="H24" t="str">
        <f t="shared" si="2"/>
        <v>example.com</v>
      </c>
      <c r="I24" t="str" cm="1">
        <f t="array" ref="I24">_xlfn.TEXTJOIN(", ", TRUE, IF(Sales_All!$D$2:$D$97 = A24, Sales_All!$E$2:$E$97, ""))</f>
        <v/>
      </c>
    </row>
    <row r="25" spans="1:9" x14ac:dyDescent="0.3">
      <c r="A25">
        <v>1024</v>
      </c>
      <c r="B25" t="s">
        <v>125</v>
      </c>
      <c r="C25" t="s">
        <v>124</v>
      </c>
      <c r="D25" t="s">
        <v>123</v>
      </c>
      <c r="E25" t="s">
        <v>1</v>
      </c>
      <c r="F25" t="str">
        <f t="shared" si="0"/>
        <v>aisha</v>
      </c>
      <c r="G25" t="str">
        <f t="shared" si="1"/>
        <v>brown</v>
      </c>
      <c r="H25" t="str">
        <f t="shared" si="2"/>
        <v>example.com</v>
      </c>
      <c r="I25" t="str" cm="1">
        <f t="array" ref="I25">_xlfn.TEXTJOIN(", ", TRUE, IF(Sales_All!$D$2:$D$97 = A25, Sales_All!$E$2:$E$97, ""))</f>
        <v/>
      </c>
    </row>
    <row r="26" spans="1:9" x14ac:dyDescent="0.3">
      <c r="A26">
        <v>1025</v>
      </c>
      <c r="B26" t="s">
        <v>122</v>
      </c>
      <c r="C26" t="s">
        <v>121</v>
      </c>
      <c r="D26" t="s">
        <v>120</v>
      </c>
      <c r="E26" t="s">
        <v>1</v>
      </c>
      <c r="F26" t="str">
        <f t="shared" si="0"/>
        <v>lerato</v>
      </c>
      <c r="G26" t="str">
        <f t="shared" si="1"/>
        <v>van wyk</v>
      </c>
      <c r="H26" t="str">
        <f t="shared" si="2"/>
        <v>example.com</v>
      </c>
      <c r="I26" t="str" cm="1">
        <f t="array" ref="I26">_xlfn.TEXTJOIN(", ", TRUE, IF(Sales_All!$D$2:$D$97 = A26, Sales_All!$E$2:$E$97, ""))</f>
        <v/>
      </c>
    </row>
    <row r="27" spans="1:9" x14ac:dyDescent="0.3">
      <c r="A27">
        <v>1015</v>
      </c>
      <c r="B27" t="s">
        <v>117</v>
      </c>
      <c r="C27" t="s">
        <v>119</v>
      </c>
      <c r="D27" t="s">
        <v>118</v>
      </c>
      <c r="E27" t="s">
        <v>11</v>
      </c>
      <c r="F27" t="str">
        <f t="shared" si="0"/>
        <v>john</v>
      </c>
      <c r="G27" t="str">
        <f t="shared" si="1"/>
        <v>smith</v>
      </c>
      <c r="H27" t="str">
        <f t="shared" si="2"/>
        <v>example.com</v>
      </c>
      <c r="I27" t="str" cm="1">
        <f t="array" ref="I27">_xlfn.TEXTJOIN(", ", TRUE, IF(Sales_All!$D$2:$D$97 = A27, Sales_All!$E$2:$E$97, ""))</f>
        <v>Smartphone, Smartphone</v>
      </c>
    </row>
    <row r="28" spans="1:9" x14ac:dyDescent="0.3">
      <c r="A28">
        <v>1014</v>
      </c>
      <c r="B28" t="s">
        <v>117</v>
      </c>
      <c r="C28" t="s">
        <v>114</v>
      </c>
      <c r="D28" t="s">
        <v>116</v>
      </c>
      <c r="E28" t="s">
        <v>1</v>
      </c>
      <c r="F28" t="str">
        <f t="shared" si="0"/>
        <v>john</v>
      </c>
      <c r="G28" t="str">
        <f t="shared" si="1"/>
        <v>mlambo</v>
      </c>
      <c r="H28" t="str">
        <f t="shared" si="2"/>
        <v>example.com</v>
      </c>
      <c r="I28" t="str" cm="1">
        <f t="array" ref="I28">_xlfn.TEXTJOIN(", ", TRUE, IF(Sales_All!$D$2:$D$97 = A28, Sales_All!$E$2:$E$97, ""))</f>
        <v>Tablet, Headphones, Monitor</v>
      </c>
    </row>
    <row r="29" spans="1:9" x14ac:dyDescent="0.3">
      <c r="A29">
        <v>1018</v>
      </c>
      <c r="B29" t="s">
        <v>115</v>
      </c>
      <c r="C29" t="s">
        <v>114</v>
      </c>
      <c r="D29" t="s">
        <v>113</v>
      </c>
      <c r="E29" t="s">
        <v>11</v>
      </c>
      <c r="F29" t="str">
        <f t="shared" si="0"/>
        <v>michael</v>
      </c>
      <c r="G29" t="str">
        <f t="shared" si="1"/>
        <v>mlambo</v>
      </c>
      <c r="H29" t="str">
        <f t="shared" si="2"/>
        <v>example.com</v>
      </c>
      <c r="I29" t="str" cm="1">
        <f t="array" ref="I29">_xlfn.TEXTJOIN(", ", TRUE, IF(Sales_All!$D$2:$D$97 = A29, Sales_All!$E$2:$E$97, ""))</f>
        <v>Tablet, Smartphone, Monitor, Laptop, Headphones, Headphones</v>
      </c>
    </row>
  </sheetData>
  <conditionalFormatting sqref="A1:A1048576">
    <cfRule type="duplicateValues" dxfId="0" priority="1"/>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82EA3C-C06F-4E99-8065-C7390AE139C3}">
  <sheetPr codeName="Sheet8"/>
  <dimension ref="A1:A4"/>
  <sheetViews>
    <sheetView workbookViewId="0">
      <selection activeCell="I19" sqref="I19"/>
    </sheetView>
  </sheetViews>
  <sheetFormatPr defaultRowHeight="14.4" x14ac:dyDescent="0.3"/>
  <cols>
    <col min="1" max="1" width="5.5546875" bestFit="1" customWidth="1"/>
  </cols>
  <sheetData>
    <row r="1" spans="1:1" x14ac:dyDescent="0.3">
      <c r="A1" t="s">
        <v>1</v>
      </c>
    </row>
    <row r="2" spans="1:1" x14ac:dyDescent="0.3">
      <c r="A2" t="s">
        <v>4</v>
      </c>
    </row>
    <row r="3" spans="1:1" x14ac:dyDescent="0.3">
      <c r="A3" t="s">
        <v>9</v>
      </c>
    </row>
    <row r="4" spans="1:1" x14ac:dyDescent="0.3">
      <c r="A4" t="s">
        <v>11</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2D68B3-C20D-46C5-9CBB-3CB0820704E5}">
  <sheetPr codeName="Sheet9"/>
  <dimension ref="A1:C91"/>
  <sheetViews>
    <sheetView workbookViewId="0">
      <selection activeCell="H8" sqref="H8"/>
    </sheetView>
  </sheetViews>
  <sheetFormatPr defaultRowHeight="14.4" x14ac:dyDescent="0.3"/>
  <cols>
    <col min="1" max="1" width="7.5546875" bestFit="1" customWidth="1"/>
    <col min="2" max="2" width="11.77734375" bestFit="1" customWidth="1"/>
    <col min="3" max="3" width="10.21875" bestFit="1" customWidth="1"/>
  </cols>
  <sheetData>
    <row r="1" spans="1:3" x14ac:dyDescent="0.3">
      <c r="A1" s="2" t="s">
        <v>46</v>
      </c>
      <c r="B1" s="2" t="s">
        <v>161</v>
      </c>
      <c r="C1" s="2" t="s">
        <v>160</v>
      </c>
    </row>
    <row r="2" spans="1:3" x14ac:dyDescent="0.3">
      <c r="A2" t="s">
        <v>39</v>
      </c>
      <c r="B2">
        <v>5</v>
      </c>
      <c r="C2">
        <v>0.01</v>
      </c>
    </row>
    <row r="3" spans="1:3" x14ac:dyDescent="0.3">
      <c r="A3" t="s">
        <v>38</v>
      </c>
      <c r="B3">
        <v>2</v>
      </c>
      <c r="C3">
        <v>0.03</v>
      </c>
    </row>
    <row r="4" spans="1:3" x14ac:dyDescent="0.3">
      <c r="A4" t="s">
        <v>37</v>
      </c>
      <c r="B4">
        <v>6</v>
      </c>
      <c r="C4">
        <v>0.05</v>
      </c>
    </row>
    <row r="5" spans="1:3" x14ac:dyDescent="0.3">
      <c r="A5" t="s">
        <v>36</v>
      </c>
      <c r="B5">
        <v>4</v>
      </c>
      <c r="C5">
        <v>7.0000000000000007E-2</v>
      </c>
    </row>
    <row r="6" spans="1:3" x14ac:dyDescent="0.3">
      <c r="A6" t="s">
        <v>35</v>
      </c>
      <c r="B6">
        <v>5</v>
      </c>
      <c r="C6">
        <v>0.03</v>
      </c>
    </row>
    <row r="7" spans="1:3" x14ac:dyDescent="0.3">
      <c r="A7" t="s">
        <v>34</v>
      </c>
      <c r="B7">
        <v>5</v>
      </c>
      <c r="C7">
        <v>0.06</v>
      </c>
    </row>
    <row r="8" spans="1:3" x14ac:dyDescent="0.3">
      <c r="A8" t="s">
        <v>33</v>
      </c>
      <c r="B8">
        <v>4</v>
      </c>
      <c r="C8">
        <v>0.02</v>
      </c>
    </row>
    <row r="9" spans="1:3" x14ac:dyDescent="0.3">
      <c r="A9" t="s">
        <v>32</v>
      </c>
      <c r="B9">
        <v>8</v>
      </c>
      <c r="C9">
        <v>7.0000000000000007E-2</v>
      </c>
    </row>
    <row r="10" spans="1:3" x14ac:dyDescent="0.3">
      <c r="A10" t="s">
        <v>30</v>
      </c>
      <c r="B10">
        <v>2</v>
      </c>
      <c r="C10">
        <v>0.08</v>
      </c>
    </row>
    <row r="11" spans="1:3" x14ac:dyDescent="0.3">
      <c r="A11" t="s">
        <v>29</v>
      </c>
      <c r="B11">
        <v>2</v>
      </c>
      <c r="C11">
        <v>0.08</v>
      </c>
    </row>
    <row r="12" spans="1:3" x14ac:dyDescent="0.3">
      <c r="A12" t="s">
        <v>28</v>
      </c>
      <c r="B12">
        <v>8</v>
      </c>
      <c r="C12">
        <v>0.06</v>
      </c>
    </row>
    <row r="13" spans="1:3" x14ac:dyDescent="0.3">
      <c r="A13" t="s">
        <v>27</v>
      </c>
      <c r="B13">
        <v>8</v>
      </c>
      <c r="C13">
        <v>0.03</v>
      </c>
    </row>
    <row r="14" spans="1:3" x14ac:dyDescent="0.3">
      <c r="A14" t="s">
        <v>26</v>
      </c>
      <c r="B14">
        <v>1</v>
      </c>
      <c r="C14">
        <v>7.0000000000000007E-2</v>
      </c>
    </row>
    <row r="15" spans="1:3" x14ac:dyDescent="0.3">
      <c r="A15" t="s">
        <v>25</v>
      </c>
      <c r="B15">
        <v>3</v>
      </c>
      <c r="C15">
        <v>0.09</v>
      </c>
    </row>
    <row r="16" spans="1:3" x14ac:dyDescent="0.3">
      <c r="A16" t="s">
        <v>24</v>
      </c>
      <c r="B16">
        <v>4</v>
      </c>
      <c r="C16">
        <v>0.06</v>
      </c>
    </row>
    <row r="17" spans="1:3" x14ac:dyDescent="0.3">
      <c r="A17" t="s">
        <v>23</v>
      </c>
      <c r="B17">
        <v>3</v>
      </c>
      <c r="C17">
        <v>0.1</v>
      </c>
    </row>
    <row r="18" spans="1:3" x14ac:dyDescent="0.3">
      <c r="A18" t="s">
        <v>22</v>
      </c>
      <c r="B18">
        <v>6</v>
      </c>
      <c r="C18">
        <v>0.1</v>
      </c>
    </row>
    <row r="19" spans="1:3" x14ac:dyDescent="0.3">
      <c r="A19" t="s">
        <v>20</v>
      </c>
      <c r="B19">
        <v>9</v>
      </c>
      <c r="C19">
        <v>0.02</v>
      </c>
    </row>
    <row r="20" spans="1:3" x14ac:dyDescent="0.3">
      <c r="A20" t="s">
        <v>19</v>
      </c>
      <c r="B20">
        <v>2</v>
      </c>
      <c r="C20">
        <v>0</v>
      </c>
    </row>
    <row r="21" spans="1:3" x14ac:dyDescent="0.3">
      <c r="A21" t="s">
        <v>18</v>
      </c>
      <c r="B21">
        <v>1</v>
      </c>
      <c r="C21">
        <v>0.02</v>
      </c>
    </row>
    <row r="22" spans="1:3" x14ac:dyDescent="0.3">
      <c r="A22" t="s">
        <v>17</v>
      </c>
      <c r="B22">
        <v>8</v>
      </c>
      <c r="C22">
        <v>0.09</v>
      </c>
    </row>
    <row r="23" spans="1:3" x14ac:dyDescent="0.3">
      <c r="A23" t="s">
        <v>16</v>
      </c>
      <c r="B23">
        <v>7</v>
      </c>
      <c r="C23">
        <v>0.1</v>
      </c>
    </row>
    <row r="24" spans="1:3" x14ac:dyDescent="0.3">
      <c r="A24" t="s">
        <v>15</v>
      </c>
      <c r="B24">
        <v>3</v>
      </c>
      <c r="C24">
        <v>0.02</v>
      </c>
    </row>
    <row r="25" spans="1:3" x14ac:dyDescent="0.3">
      <c r="A25" t="s">
        <v>13</v>
      </c>
      <c r="B25">
        <v>1</v>
      </c>
      <c r="C25">
        <v>0.04</v>
      </c>
    </row>
    <row r="26" spans="1:3" x14ac:dyDescent="0.3">
      <c r="A26" t="s">
        <v>12</v>
      </c>
      <c r="B26">
        <v>9</v>
      </c>
      <c r="C26">
        <v>0.05</v>
      </c>
    </row>
    <row r="27" spans="1:3" x14ac:dyDescent="0.3">
      <c r="A27" t="s">
        <v>10</v>
      </c>
      <c r="B27">
        <v>3</v>
      </c>
      <c r="C27">
        <v>0.03</v>
      </c>
    </row>
    <row r="28" spans="1:3" x14ac:dyDescent="0.3">
      <c r="A28" t="s">
        <v>7</v>
      </c>
      <c r="B28">
        <v>6</v>
      </c>
      <c r="C28">
        <v>0.05</v>
      </c>
    </row>
    <row r="29" spans="1:3" x14ac:dyDescent="0.3">
      <c r="A29" t="s">
        <v>6</v>
      </c>
      <c r="B29">
        <v>2</v>
      </c>
      <c r="C29">
        <v>7.0000000000000007E-2</v>
      </c>
    </row>
    <row r="30" spans="1:3" x14ac:dyDescent="0.3">
      <c r="A30" t="s">
        <v>5</v>
      </c>
      <c r="B30">
        <v>9</v>
      </c>
      <c r="C30">
        <v>0.05</v>
      </c>
    </row>
    <row r="31" spans="1:3" x14ac:dyDescent="0.3">
      <c r="A31" t="s">
        <v>2</v>
      </c>
      <c r="B31">
        <v>2</v>
      </c>
      <c r="C31">
        <v>7.0000000000000007E-2</v>
      </c>
    </row>
    <row r="32" spans="1:3" x14ac:dyDescent="0.3">
      <c r="A32" t="s">
        <v>106</v>
      </c>
      <c r="B32">
        <v>6</v>
      </c>
      <c r="C32">
        <v>0.05</v>
      </c>
    </row>
    <row r="33" spans="1:3" x14ac:dyDescent="0.3">
      <c r="A33" t="s">
        <v>105</v>
      </c>
      <c r="B33">
        <v>5</v>
      </c>
      <c r="C33">
        <v>0</v>
      </c>
    </row>
    <row r="34" spans="1:3" x14ac:dyDescent="0.3">
      <c r="A34" t="s">
        <v>104</v>
      </c>
      <c r="B34">
        <v>3</v>
      </c>
      <c r="C34">
        <v>0.04</v>
      </c>
    </row>
    <row r="35" spans="1:3" x14ac:dyDescent="0.3">
      <c r="A35" t="s">
        <v>103</v>
      </c>
      <c r="B35">
        <v>9</v>
      </c>
      <c r="C35">
        <v>0.05</v>
      </c>
    </row>
    <row r="36" spans="1:3" x14ac:dyDescent="0.3">
      <c r="A36" t="s">
        <v>102</v>
      </c>
      <c r="B36">
        <v>4</v>
      </c>
      <c r="C36">
        <v>0.04</v>
      </c>
    </row>
    <row r="37" spans="1:3" x14ac:dyDescent="0.3">
      <c r="A37" t="s">
        <v>101</v>
      </c>
      <c r="B37">
        <v>6</v>
      </c>
      <c r="C37">
        <v>0.04</v>
      </c>
    </row>
    <row r="38" spans="1:3" x14ac:dyDescent="0.3">
      <c r="A38" t="s">
        <v>100</v>
      </c>
      <c r="B38">
        <v>1</v>
      </c>
      <c r="C38">
        <v>0.05</v>
      </c>
    </row>
    <row r="39" spans="1:3" x14ac:dyDescent="0.3">
      <c r="A39" t="s">
        <v>99</v>
      </c>
      <c r="B39">
        <v>4</v>
      </c>
      <c r="C39">
        <v>0.04</v>
      </c>
    </row>
    <row r="40" spans="1:3" x14ac:dyDescent="0.3">
      <c r="A40" t="s">
        <v>98</v>
      </c>
      <c r="B40">
        <v>7</v>
      </c>
      <c r="C40">
        <v>0.01</v>
      </c>
    </row>
    <row r="41" spans="1:3" x14ac:dyDescent="0.3">
      <c r="A41" t="s">
        <v>97</v>
      </c>
      <c r="B41">
        <v>4</v>
      </c>
      <c r="C41">
        <v>0.03</v>
      </c>
    </row>
    <row r="42" spans="1:3" x14ac:dyDescent="0.3">
      <c r="A42" t="s">
        <v>96</v>
      </c>
      <c r="B42">
        <v>5</v>
      </c>
      <c r="C42">
        <v>0.09</v>
      </c>
    </row>
    <row r="43" spans="1:3" x14ac:dyDescent="0.3">
      <c r="A43" t="s">
        <v>95</v>
      </c>
      <c r="B43">
        <v>8</v>
      </c>
      <c r="C43">
        <v>0</v>
      </c>
    </row>
    <row r="44" spans="1:3" x14ac:dyDescent="0.3">
      <c r="A44" t="s">
        <v>94</v>
      </c>
      <c r="B44">
        <v>7</v>
      </c>
      <c r="C44">
        <v>0</v>
      </c>
    </row>
    <row r="45" spans="1:3" x14ac:dyDescent="0.3">
      <c r="A45" t="s">
        <v>93</v>
      </c>
      <c r="B45">
        <v>4</v>
      </c>
      <c r="C45">
        <v>0.03</v>
      </c>
    </row>
    <row r="46" spans="1:3" x14ac:dyDescent="0.3">
      <c r="A46" t="s">
        <v>92</v>
      </c>
      <c r="B46">
        <v>1</v>
      </c>
      <c r="C46">
        <v>0.06</v>
      </c>
    </row>
    <row r="47" spans="1:3" x14ac:dyDescent="0.3">
      <c r="A47" t="s">
        <v>91</v>
      </c>
      <c r="B47">
        <v>5</v>
      </c>
      <c r="C47">
        <v>0.1</v>
      </c>
    </row>
    <row r="48" spans="1:3" x14ac:dyDescent="0.3">
      <c r="A48" t="s">
        <v>90</v>
      </c>
      <c r="B48">
        <v>5</v>
      </c>
      <c r="C48">
        <v>0.1</v>
      </c>
    </row>
    <row r="49" spans="1:3" x14ac:dyDescent="0.3">
      <c r="A49" t="s">
        <v>89</v>
      </c>
      <c r="B49">
        <v>6</v>
      </c>
      <c r="C49">
        <v>0.1</v>
      </c>
    </row>
    <row r="50" spans="1:3" x14ac:dyDescent="0.3">
      <c r="A50" t="s">
        <v>88</v>
      </c>
      <c r="B50">
        <v>8</v>
      </c>
      <c r="C50">
        <v>0.01</v>
      </c>
    </row>
    <row r="51" spans="1:3" x14ac:dyDescent="0.3">
      <c r="A51" t="s">
        <v>87</v>
      </c>
      <c r="B51">
        <v>7</v>
      </c>
      <c r="C51">
        <v>7.0000000000000007E-2</v>
      </c>
    </row>
    <row r="52" spans="1:3" x14ac:dyDescent="0.3">
      <c r="A52" t="s">
        <v>86</v>
      </c>
      <c r="B52">
        <v>7</v>
      </c>
      <c r="C52">
        <v>0.05</v>
      </c>
    </row>
    <row r="53" spans="1:3" x14ac:dyDescent="0.3">
      <c r="A53" t="s">
        <v>85</v>
      </c>
      <c r="B53">
        <v>3</v>
      </c>
      <c r="C53">
        <v>0.02</v>
      </c>
    </row>
    <row r="54" spans="1:3" x14ac:dyDescent="0.3">
      <c r="A54" t="s">
        <v>84</v>
      </c>
      <c r="B54">
        <v>5</v>
      </c>
      <c r="C54">
        <v>0.09</v>
      </c>
    </row>
    <row r="55" spans="1:3" x14ac:dyDescent="0.3">
      <c r="A55" t="s">
        <v>83</v>
      </c>
      <c r="B55">
        <v>3</v>
      </c>
      <c r="C55">
        <v>0.02</v>
      </c>
    </row>
    <row r="56" spans="1:3" x14ac:dyDescent="0.3">
      <c r="A56" t="s">
        <v>82</v>
      </c>
      <c r="B56">
        <v>8</v>
      </c>
      <c r="C56">
        <v>0.1</v>
      </c>
    </row>
    <row r="57" spans="1:3" x14ac:dyDescent="0.3">
      <c r="A57" t="s">
        <v>81</v>
      </c>
      <c r="B57">
        <v>2</v>
      </c>
      <c r="C57">
        <v>0.06</v>
      </c>
    </row>
    <row r="58" spans="1:3" x14ac:dyDescent="0.3">
      <c r="A58" t="s">
        <v>80</v>
      </c>
      <c r="B58">
        <v>7</v>
      </c>
      <c r="C58">
        <v>0.02</v>
      </c>
    </row>
    <row r="59" spans="1:3" x14ac:dyDescent="0.3">
      <c r="A59" t="s">
        <v>79</v>
      </c>
      <c r="B59">
        <v>7</v>
      </c>
      <c r="C59">
        <v>0.04</v>
      </c>
    </row>
    <row r="60" spans="1:3" x14ac:dyDescent="0.3">
      <c r="A60" t="s">
        <v>78</v>
      </c>
      <c r="B60">
        <v>1</v>
      </c>
      <c r="C60">
        <v>0.02</v>
      </c>
    </row>
    <row r="61" spans="1:3" x14ac:dyDescent="0.3">
      <c r="A61" t="s">
        <v>77</v>
      </c>
      <c r="B61">
        <v>8</v>
      </c>
      <c r="C61">
        <v>0.04</v>
      </c>
    </row>
    <row r="62" spans="1:3" x14ac:dyDescent="0.3">
      <c r="A62" t="s">
        <v>76</v>
      </c>
      <c r="B62">
        <v>3</v>
      </c>
      <c r="C62">
        <v>0.06</v>
      </c>
    </row>
    <row r="63" spans="1:3" x14ac:dyDescent="0.3">
      <c r="A63" t="s">
        <v>75</v>
      </c>
      <c r="B63">
        <v>4</v>
      </c>
      <c r="C63">
        <v>7.0000000000000007E-2</v>
      </c>
    </row>
    <row r="64" spans="1:3" x14ac:dyDescent="0.3">
      <c r="A64" t="s">
        <v>74</v>
      </c>
      <c r="B64">
        <v>6</v>
      </c>
      <c r="C64">
        <v>0.05</v>
      </c>
    </row>
    <row r="65" spans="1:3" x14ac:dyDescent="0.3">
      <c r="A65" t="s">
        <v>73</v>
      </c>
      <c r="B65">
        <v>5</v>
      </c>
      <c r="C65">
        <v>0.03</v>
      </c>
    </row>
    <row r="66" spans="1:3" x14ac:dyDescent="0.3">
      <c r="A66" t="s">
        <v>72</v>
      </c>
      <c r="B66">
        <v>3</v>
      </c>
      <c r="C66">
        <v>0.06</v>
      </c>
    </row>
    <row r="67" spans="1:3" x14ac:dyDescent="0.3">
      <c r="A67" t="s">
        <v>71</v>
      </c>
      <c r="B67">
        <v>5</v>
      </c>
      <c r="C67">
        <v>0.04</v>
      </c>
    </row>
    <row r="68" spans="1:3" x14ac:dyDescent="0.3">
      <c r="A68" t="s">
        <v>70</v>
      </c>
      <c r="B68">
        <v>4</v>
      </c>
      <c r="C68">
        <v>0.04</v>
      </c>
    </row>
    <row r="69" spans="1:3" x14ac:dyDescent="0.3">
      <c r="A69" t="s">
        <v>69</v>
      </c>
      <c r="B69">
        <v>8</v>
      </c>
      <c r="C69">
        <v>0.03</v>
      </c>
    </row>
    <row r="70" spans="1:3" x14ac:dyDescent="0.3">
      <c r="A70" t="s">
        <v>68</v>
      </c>
      <c r="B70">
        <v>1</v>
      </c>
      <c r="C70">
        <v>0.02</v>
      </c>
    </row>
    <row r="71" spans="1:3" x14ac:dyDescent="0.3">
      <c r="A71" t="s">
        <v>67</v>
      </c>
      <c r="B71">
        <v>1</v>
      </c>
      <c r="C71">
        <v>0.05</v>
      </c>
    </row>
    <row r="72" spans="1:3" x14ac:dyDescent="0.3">
      <c r="A72" t="s">
        <v>66</v>
      </c>
      <c r="B72">
        <v>6</v>
      </c>
      <c r="C72">
        <v>0.05</v>
      </c>
    </row>
    <row r="73" spans="1:3" x14ac:dyDescent="0.3">
      <c r="A73" t="s">
        <v>65</v>
      </c>
      <c r="B73">
        <v>7</v>
      </c>
      <c r="C73">
        <v>0.09</v>
      </c>
    </row>
    <row r="74" spans="1:3" x14ac:dyDescent="0.3">
      <c r="A74" t="s">
        <v>64</v>
      </c>
      <c r="B74">
        <v>7</v>
      </c>
      <c r="C74">
        <v>7.0000000000000007E-2</v>
      </c>
    </row>
    <row r="75" spans="1:3" x14ac:dyDescent="0.3">
      <c r="A75" t="s">
        <v>63</v>
      </c>
      <c r="B75">
        <v>6</v>
      </c>
      <c r="C75">
        <v>0.08</v>
      </c>
    </row>
    <row r="76" spans="1:3" x14ac:dyDescent="0.3">
      <c r="A76" t="s">
        <v>62</v>
      </c>
      <c r="B76">
        <v>7</v>
      </c>
      <c r="C76">
        <v>0.04</v>
      </c>
    </row>
    <row r="77" spans="1:3" x14ac:dyDescent="0.3">
      <c r="A77" t="s">
        <v>61</v>
      </c>
      <c r="B77">
        <v>5</v>
      </c>
      <c r="C77">
        <v>0.03</v>
      </c>
    </row>
    <row r="78" spans="1:3" x14ac:dyDescent="0.3">
      <c r="A78" t="s">
        <v>60</v>
      </c>
      <c r="B78">
        <v>8</v>
      </c>
      <c r="C78">
        <v>7.0000000000000007E-2</v>
      </c>
    </row>
    <row r="79" spans="1:3" x14ac:dyDescent="0.3">
      <c r="A79" t="s">
        <v>59</v>
      </c>
      <c r="B79">
        <v>4</v>
      </c>
      <c r="C79">
        <v>7.0000000000000007E-2</v>
      </c>
    </row>
    <row r="80" spans="1:3" x14ac:dyDescent="0.3">
      <c r="A80" t="s">
        <v>58</v>
      </c>
      <c r="B80">
        <v>3</v>
      </c>
      <c r="C80">
        <v>0.01</v>
      </c>
    </row>
    <row r="81" spans="1:3" x14ac:dyDescent="0.3">
      <c r="A81" t="s">
        <v>57</v>
      </c>
      <c r="B81">
        <v>4</v>
      </c>
      <c r="C81">
        <v>0.01</v>
      </c>
    </row>
    <row r="82" spans="1:3" x14ac:dyDescent="0.3">
      <c r="A82" t="s">
        <v>56</v>
      </c>
      <c r="B82">
        <v>9</v>
      </c>
      <c r="C82">
        <v>0.05</v>
      </c>
    </row>
    <row r="83" spans="1:3" x14ac:dyDescent="0.3">
      <c r="A83" t="s">
        <v>55</v>
      </c>
      <c r="B83">
        <v>8</v>
      </c>
      <c r="C83">
        <v>0.02</v>
      </c>
    </row>
    <row r="84" spans="1:3" x14ac:dyDescent="0.3">
      <c r="A84" t="s">
        <v>54</v>
      </c>
      <c r="B84">
        <v>2</v>
      </c>
      <c r="C84">
        <v>0.1</v>
      </c>
    </row>
    <row r="85" spans="1:3" x14ac:dyDescent="0.3">
      <c r="A85" t="s">
        <v>53</v>
      </c>
      <c r="B85">
        <v>6</v>
      </c>
      <c r="C85">
        <v>0.08</v>
      </c>
    </row>
    <row r="86" spans="1:3" x14ac:dyDescent="0.3">
      <c r="A86" t="s">
        <v>52</v>
      </c>
      <c r="B86">
        <v>4</v>
      </c>
      <c r="C86">
        <v>0.05</v>
      </c>
    </row>
    <row r="87" spans="1:3" x14ac:dyDescent="0.3">
      <c r="A87" t="s">
        <v>51</v>
      </c>
      <c r="B87">
        <v>1</v>
      </c>
      <c r="C87">
        <v>0.02</v>
      </c>
    </row>
    <row r="88" spans="1:3" x14ac:dyDescent="0.3">
      <c r="A88" t="s">
        <v>50</v>
      </c>
      <c r="B88">
        <v>7</v>
      </c>
      <c r="C88">
        <v>0.01</v>
      </c>
    </row>
    <row r="89" spans="1:3" x14ac:dyDescent="0.3">
      <c r="A89" t="s">
        <v>49</v>
      </c>
      <c r="B89">
        <v>3</v>
      </c>
      <c r="C89">
        <v>0.1</v>
      </c>
    </row>
    <row r="90" spans="1:3" x14ac:dyDescent="0.3">
      <c r="A90" t="s">
        <v>48</v>
      </c>
      <c r="B90">
        <v>4</v>
      </c>
      <c r="C90">
        <v>7.0000000000000007E-2</v>
      </c>
    </row>
    <row r="91" spans="1:3" x14ac:dyDescent="0.3">
      <c r="A91" t="s">
        <v>47</v>
      </c>
      <c r="B91">
        <v>5</v>
      </c>
      <c r="C91">
        <v>0.09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593E-2134-4C20-8971-18F4686B67C2}">
  <sheetPr codeName="Sheet10"/>
  <dimension ref="A1:D10"/>
  <sheetViews>
    <sheetView workbookViewId="0">
      <selection activeCell="H19" sqref="H19"/>
    </sheetView>
  </sheetViews>
  <sheetFormatPr defaultRowHeight="14.4" x14ac:dyDescent="0.3"/>
  <cols>
    <col min="1" max="1" width="18" bestFit="1" customWidth="1"/>
    <col min="2" max="2" width="16" bestFit="1" customWidth="1"/>
    <col min="3" max="3" width="13.88671875" bestFit="1" customWidth="1"/>
    <col min="4" max="4" width="19.6640625" bestFit="1" customWidth="1"/>
  </cols>
  <sheetData>
    <row r="1" spans="1:4" x14ac:dyDescent="0.3">
      <c r="A1" s="2" t="s">
        <v>165</v>
      </c>
      <c r="B1" s="2" t="s">
        <v>164</v>
      </c>
      <c r="C1" s="2" t="s">
        <v>163</v>
      </c>
      <c r="D1" s="2" t="s">
        <v>162</v>
      </c>
    </row>
    <row r="2" spans="1:4" x14ac:dyDescent="0.3">
      <c r="A2" s="1">
        <v>45688</v>
      </c>
      <c r="B2">
        <v>25640</v>
      </c>
      <c r="C2">
        <v>60082</v>
      </c>
      <c r="D2">
        <v>21492</v>
      </c>
    </row>
    <row r="3" spans="1:4" x14ac:dyDescent="0.3">
      <c r="A3" s="1">
        <v>45716</v>
      </c>
      <c r="B3">
        <v>43320</v>
      </c>
      <c r="C3">
        <v>70533</v>
      </c>
      <c r="D3">
        <v>27724</v>
      </c>
    </row>
    <row r="4" spans="1:4" x14ac:dyDescent="0.3">
      <c r="A4" s="1">
        <v>45747</v>
      </c>
      <c r="B4">
        <v>34147</v>
      </c>
      <c r="C4">
        <v>63890</v>
      </c>
      <c r="D4">
        <v>17738</v>
      </c>
    </row>
    <row r="5" spans="1:4" x14ac:dyDescent="0.3">
      <c r="A5" s="1">
        <v>45777</v>
      </c>
      <c r="B5">
        <v>44423</v>
      </c>
      <c r="C5">
        <v>90674</v>
      </c>
      <c r="D5">
        <v>21152</v>
      </c>
    </row>
    <row r="6" spans="1:4" x14ac:dyDescent="0.3">
      <c r="A6" s="1">
        <v>45808</v>
      </c>
      <c r="B6">
        <v>32119</v>
      </c>
      <c r="C6">
        <v>55646</v>
      </c>
      <c r="D6">
        <v>19723</v>
      </c>
    </row>
    <row r="7" spans="1:4" x14ac:dyDescent="0.3">
      <c r="A7" s="1">
        <v>45838</v>
      </c>
      <c r="B7">
        <v>20079</v>
      </c>
      <c r="C7">
        <v>99954</v>
      </c>
      <c r="D7">
        <v>15769</v>
      </c>
    </row>
    <row r="8" spans="1:4" x14ac:dyDescent="0.3">
      <c r="A8" s="1">
        <v>45869</v>
      </c>
      <c r="B8">
        <v>36304</v>
      </c>
      <c r="C8">
        <v>63297</v>
      </c>
      <c r="D8">
        <v>25453</v>
      </c>
    </row>
    <row r="9" spans="1:4" x14ac:dyDescent="0.3">
      <c r="A9" s="1">
        <v>45900</v>
      </c>
      <c r="B9">
        <v>36734</v>
      </c>
      <c r="C9">
        <v>93760</v>
      </c>
      <c r="D9">
        <v>16230</v>
      </c>
    </row>
    <row r="10" spans="1:4" x14ac:dyDescent="0.3">
      <c r="A10" s="1">
        <v>45930</v>
      </c>
      <c r="B10">
        <v>34260</v>
      </c>
      <c r="C10">
        <v>70760</v>
      </c>
      <c r="D10">
        <v>28818</v>
      </c>
    </row>
  </sheetData>
  <conditionalFormatting sqref="B1:D15 B33:D1048576 D26:D32">
    <cfRule type="colorScale" priority="1">
      <colorScale>
        <cfvo type="min"/>
        <cfvo type="percentile" val="50"/>
        <cfvo type="max"/>
        <color rgb="FFF8696B"/>
        <color rgb="FFFCFCFF"/>
        <color rgb="FF63BE7B"/>
      </colorScale>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PivortTables</vt:lpstr>
      <vt:lpstr>Charts</vt:lpstr>
      <vt:lpstr>Dashboard</vt:lpstr>
      <vt:lpstr>Sales_All</vt:lpstr>
      <vt:lpstr>Region_Summary</vt:lpstr>
      <vt:lpstr>Products</vt:lpstr>
      <vt:lpstr>Customers</vt:lpstr>
      <vt:lpstr>Validation</vt:lpstr>
      <vt:lpstr>Operations</vt:lpstr>
      <vt:lpstr>Finance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Mbekezeli Ndlovu</dc:creator>
  <cp:lastModifiedBy>Mbekezeli Ndlovu</cp:lastModifiedBy>
  <dcterms:created xsi:type="dcterms:W3CDTF">2026-08-13T15:30:55Z</dcterms:created>
  <dcterms:modified xsi:type="dcterms:W3CDTF">2026-08-13T22:22:14Z</dcterms:modified>
</cp:coreProperties>
</file>